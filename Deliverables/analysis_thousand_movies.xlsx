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Projects\Hirable Offense\Ep. 9- Movie Analysis\GitHub\Datasets\"/>
    </mc:Choice>
  </mc:AlternateContent>
  <xr:revisionPtr revIDLastSave="0" documentId="13_ncr:1_{1C52506C-F931-4CDA-91BE-68C9CBF7901E}" xr6:coauthVersionLast="47" xr6:coauthVersionMax="47" xr10:uidLastSave="{00000000-0000-0000-0000-000000000000}"/>
  <bookViews>
    <workbookView xWindow="-108" yWindow="-108" windowWidth="30936" windowHeight="18816" firstSheet="2" activeTab="6" xr2:uid="{023499C7-1032-4C7B-97B8-D6F717020921}"/>
  </bookViews>
  <sheets>
    <sheet name="thousand_movies_with_ratings" sheetId="1" r:id="rId1"/>
    <sheet name="Stats" sheetId="2" r:id="rId2"/>
    <sheet name="T-Tests" sheetId="3" r:id="rId3"/>
    <sheet name="Review Count Ratio" sheetId="7" r:id="rId4"/>
    <sheet name="Most_Loved" sheetId="8" r:id="rId5"/>
    <sheet name="Most Hated" sheetId="6" r:id="rId6"/>
    <sheet name="Overlooked" sheetId="4" r:id="rId7"/>
  </sheets>
  <definedNames>
    <definedName name="_xlnm._FilterDatabase" localSheetId="5" hidden="1">'Most Hated'!$A$1:$K$1001</definedName>
    <definedName name="_xlnm._FilterDatabase" localSheetId="4" hidden="1">Most_Loved!$A$1:$K$1001</definedName>
    <definedName name="_xlnm._FilterDatabase" localSheetId="6" hidden="1">Overlooked!$A$1:$K$1001</definedName>
    <definedName name="_xlnm._FilterDatabase" localSheetId="3" hidden="1">'Review Count Ratio'!$G$1:$G$1001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3" l="1"/>
  <c r="D8" i="3"/>
  <c r="Y17" i="8"/>
  <c r="Y18" i="8"/>
  <c r="Y16" i="8"/>
  <c r="D7" i="7" l="1"/>
  <c r="D10" i="7"/>
  <c r="D8" i="7"/>
  <c r="D6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A1001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2" i="7"/>
  <c r="C3" i="2"/>
  <c r="D3" i="2"/>
  <c r="E3" i="2"/>
  <c r="F3" i="2"/>
  <c r="G3" i="2"/>
  <c r="C4" i="2"/>
  <c r="D4" i="2"/>
  <c r="E4" i="2"/>
  <c r="F4" i="2"/>
  <c r="G4" i="2"/>
  <c r="C5" i="2"/>
  <c r="D5" i="2"/>
  <c r="E5" i="2"/>
  <c r="F5" i="2"/>
  <c r="G5" i="2"/>
  <c r="C6" i="2"/>
  <c r="D6" i="2"/>
  <c r="E6" i="2"/>
  <c r="F6" i="2"/>
  <c r="G6" i="2"/>
  <c r="B6" i="2"/>
  <c r="B5" i="2"/>
  <c r="B4" i="2"/>
  <c r="B3" i="2"/>
  <c r="F2" i="2"/>
  <c r="G2" i="2"/>
  <c r="D2" i="2"/>
  <c r="E2" i="2"/>
  <c r="C2" i="2"/>
  <c r="B2" i="2"/>
</calcChain>
</file>

<file path=xl/sharedStrings.xml><?xml version="1.0" encoding="utf-8"?>
<sst xmlns="http://schemas.openxmlformats.org/spreadsheetml/2006/main" count="12283" uniqueCount="2064">
  <si>
    <t>id</t>
  </si>
  <si>
    <t>title</t>
  </si>
  <si>
    <t>duration_minutes</t>
  </si>
  <si>
    <t>mpa</t>
  </si>
  <si>
    <t>imdb_rating</t>
  </si>
  <si>
    <t>metacritic_score</t>
  </si>
  <si>
    <t>release_date</t>
  </si>
  <si>
    <t>TMDB_Score</t>
  </si>
  <si>
    <t>TMDB_Vote_Count</t>
  </si>
  <si>
    <t>RT_Tomatometer</t>
  </si>
  <si>
    <t>tt12017738</t>
  </si>
  <si>
    <t>Three Minutes: A Lengthening</t>
  </si>
  <si>
    <t>PG</t>
  </si>
  <si>
    <t>tt28814949</t>
  </si>
  <si>
    <t>Taylor Swift: The Eras Tour</t>
  </si>
  <si>
    <t>PG-13</t>
  </si>
  <si>
    <t>tt12672536</t>
  </si>
  <si>
    <t>The Three Musketeers - Part I: D'Artagnan</t>
  </si>
  <si>
    <t>Not Rated</t>
  </si>
  <si>
    <t>tt13840536</t>
  </si>
  <si>
    <t>It Ain't Over</t>
  </si>
  <si>
    <t>tt14961016</t>
  </si>
  <si>
    <t>I'm Still Here</t>
  </si>
  <si>
    <t>tt26315142</t>
  </si>
  <si>
    <t>Totem</t>
  </si>
  <si>
    <t>Unrated</t>
  </si>
  <si>
    <t>tt30319503</t>
  </si>
  <si>
    <t>Didi</t>
  </si>
  <si>
    <t>R</t>
  </si>
  <si>
    <t>tt16428256</t>
  </si>
  <si>
    <t>Suzume</t>
  </si>
  <si>
    <t>tt3915174</t>
  </si>
  <si>
    <t>Puss in Boots: The Last Wish</t>
  </si>
  <si>
    <t>tt10638522</t>
  </si>
  <si>
    <t>Talk to Me</t>
  </si>
  <si>
    <t>tt11559472</t>
  </si>
  <si>
    <t>Ali &amp; Ava</t>
  </si>
  <si>
    <t>tt3447590</t>
  </si>
  <si>
    <t>Matilda: The Musical</t>
  </si>
  <si>
    <t>tt5648882</t>
  </si>
  <si>
    <t>The Burial</t>
  </si>
  <si>
    <t>tt2906216</t>
  </si>
  <si>
    <t>Dungeons &amp; Dragons: Honor Among Thieves</t>
  </si>
  <si>
    <t>tt14444726</t>
  </si>
  <si>
    <t>Tar</t>
  </si>
  <si>
    <t>tt13648224</t>
  </si>
  <si>
    <t>We're All Going to the World's Fair</t>
  </si>
  <si>
    <t>tt7978758</t>
  </si>
  <si>
    <t>Apollo 10 ½: A Space Age Childhood</t>
  </si>
  <si>
    <t>tt10245106</t>
  </si>
  <si>
    <t>Dreamin' Wild</t>
  </si>
  <si>
    <t>tt30395619</t>
  </si>
  <si>
    <t>Demon Slayer: Kimetsu No Yaiba - To the Hashira Training</t>
  </si>
  <si>
    <t>tt11818818</t>
  </si>
  <si>
    <t>God's Country</t>
  </si>
  <si>
    <t>tt12374656</t>
  </si>
  <si>
    <t>Emily</t>
  </si>
  <si>
    <t>tt19869662</t>
  </si>
  <si>
    <t>Irena's Vow</t>
  </si>
  <si>
    <t>tt13051724</t>
  </si>
  <si>
    <t>L'immensita</t>
  </si>
  <si>
    <t>tt26682012</t>
  </si>
  <si>
    <t>Daddy's Head</t>
  </si>
  <si>
    <t>TV-MA</t>
  </si>
  <si>
    <t>tt21190556</t>
  </si>
  <si>
    <t>You Can Call Me Bill</t>
  </si>
  <si>
    <t>tt14557188</t>
  </si>
  <si>
    <t>Soft &amp; Quiet</t>
  </si>
  <si>
    <t>tt13535920</t>
  </si>
  <si>
    <t>Both Sides of the Blade</t>
  </si>
  <si>
    <t>tt15767808</t>
  </si>
  <si>
    <t>The Last Kingdom: Seven Kings Must Die</t>
  </si>
  <si>
    <t>tt3513500</t>
  </si>
  <si>
    <t>Chip 'n Dale: Rescue Rangers</t>
  </si>
  <si>
    <t>tt14577874</t>
  </si>
  <si>
    <t>It's What's Inside</t>
  </si>
  <si>
    <t>tt22939186</t>
  </si>
  <si>
    <t>Arcadian</t>
  </si>
  <si>
    <t>tt5535276</t>
  </si>
  <si>
    <t>Maestro</t>
  </si>
  <si>
    <t>tt5822848</t>
  </si>
  <si>
    <t>The Inventor</t>
  </si>
  <si>
    <t>tt3864060</t>
  </si>
  <si>
    <t>Unstoppable</t>
  </si>
  <si>
    <t>tt11897340</t>
  </si>
  <si>
    <t>Huda's Salon</t>
  </si>
  <si>
    <t>tt30215084</t>
  </si>
  <si>
    <t>This Is Me... Now</t>
  </si>
  <si>
    <t>tt34977130</t>
  </si>
  <si>
    <t>Don't Die: The Man Who Wants to Live Forever</t>
  </si>
  <si>
    <t>TV-14</t>
  </si>
  <si>
    <t>tt24807110</t>
  </si>
  <si>
    <t>Don't Move</t>
  </si>
  <si>
    <t>tt0887261</t>
  </si>
  <si>
    <t>Hellraiser</t>
  </si>
  <si>
    <t>tt20221436</t>
  </si>
  <si>
    <t>Emilia PÃ©rez</t>
  </si>
  <si>
    <t>tt10375396</t>
  </si>
  <si>
    <t>God's Creatures</t>
  </si>
  <si>
    <t>tt8105234</t>
  </si>
  <si>
    <t>Flamin' Hot</t>
  </si>
  <si>
    <t>tt4959750</t>
  </si>
  <si>
    <t>tt4495098</t>
  </si>
  <si>
    <t>Gran Turismo</t>
  </si>
  <si>
    <t>tt14781036</t>
  </si>
  <si>
    <t>Inside</t>
  </si>
  <si>
    <t>tt23638614</t>
  </si>
  <si>
    <t>Unsung Hero</t>
  </si>
  <si>
    <t>tt23149780</t>
  </si>
  <si>
    <t>Eden</t>
  </si>
  <si>
    <t>tt31050620</t>
  </si>
  <si>
    <t>Inheritance</t>
  </si>
  <si>
    <t>tt15153532</t>
  </si>
  <si>
    <t>Strays</t>
  </si>
  <si>
    <t>tt6898324</t>
  </si>
  <si>
    <t>City of Dreams</t>
  </si>
  <si>
    <t>tt3359350</t>
  </si>
  <si>
    <t>Road House</t>
  </si>
  <si>
    <t>tt1001520</t>
  </si>
  <si>
    <t>The Last Voyage of the Demeter</t>
  </si>
  <si>
    <t>tt23330554</t>
  </si>
  <si>
    <t>Winnie-the-Pooh: Blood and Honey 2</t>
  </si>
  <si>
    <t>tt10245072</t>
  </si>
  <si>
    <t>Salem's Lot</t>
  </si>
  <si>
    <t>tt10323676</t>
  </si>
  <si>
    <t>The Contractor</t>
  </si>
  <si>
    <t>tt12226632</t>
  </si>
  <si>
    <t>Big George Foreman</t>
  </si>
  <si>
    <t>tt1464335</t>
  </si>
  <si>
    <t>Uncharted</t>
  </si>
  <si>
    <t>tt6208148</t>
  </si>
  <si>
    <t>Snow White</t>
  </si>
  <si>
    <t>tt26304178</t>
  </si>
  <si>
    <t>O'Dessa</t>
  </si>
  <si>
    <t>tt1596342</t>
  </si>
  <si>
    <t>Disenchanted</t>
  </si>
  <si>
    <t>tt8310486</t>
  </si>
  <si>
    <t>Miller's Girl</t>
  </si>
  <si>
    <t>tt15326988</t>
  </si>
  <si>
    <t>Ghosted</t>
  </si>
  <si>
    <t>tt14330236</t>
  </si>
  <si>
    <t>Mack &amp; Rita</t>
  </si>
  <si>
    <t>tt9013340</t>
  </si>
  <si>
    <t>Fool's Paradise</t>
  </si>
  <si>
    <t>tt10341196</t>
  </si>
  <si>
    <t>Gigi &amp; Nate</t>
  </si>
  <si>
    <t>tt1723808</t>
  </si>
  <si>
    <t>Reagan</t>
  </si>
  <si>
    <t>tt23137904</t>
  </si>
  <si>
    <t>Rebel Moon - Part Two: The Scargiver</t>
  </si>
  <si>
    <t>tt16409868</t>
  </si>
  <si>
    <t>High Tide</t>
  </si>
  <si>
    <t>tt17163970</t>
  </si>
  <si>
    <t>Wallace &amp; Gromit: Vengeance Most Fowl</t>
  </si>
  <si>
    <t>tt30319854</t>
  </si>
  <si>
    <t>Sugarcane</t>
  </si>
  <si>
    <t>tt32083311</t>
  </si>
  <si>
    <t>On Becoming a Guinea Fowl</t>
  </si>
  <si>
    <t>tt5012320</t>
  </si>
  <si>
    <t>Out of My Mind</t>
  </si>
  <si>
    <t>TV-PG</t>
  </si>
  <si>
    <t>tt31711040</t>
  </si>
  <si>
    <t>Look Back</t>
  </si>
  <si>
    <t>13+</t>
  </si>
  <si>
    <t>tt32086077</t>
  </si>
  <si>
    <t>All We Imagine as Light</t>
  </si>
  <si>
    <t>tt30444418</t>
  </si>
  <si>
    <t>Santosh</t>
  </si>
  <si>
    <t>tt28620587</t>
  </si>
  <si>
    <t>I Am: Celine Dion</t>
  </si>
  <si>
    <t>tt26915336</t>
  </si>
  <si>
    <t>Mars Express</t>
  </si>
  <si>
    <t>tt24078380</t>
  </si>
  <si>
    <t>The Disappearance of Shere Hite</t>
  </si>
  <si>
    <t>tt12964320</t>
  </si>
  <si>
    <t>Role Play</t>
  </si>
  <si>
    <t>tt25470468</t>
  </si>
  <si>
    <t>Beyond Utopia</t>
  </si>
  <si>
    <t>tt21376900</t>
  </si>
  <si>
    <t>Bobi Wine: The People's President</t>
  </si>
  <si>
    <t>tt15242330</t>
  </si>
  <si>
    <t>The First Slam Dunk</t>
  </si>
  <si>
    <t>tt22352776</t>
  </si>
  <si>
    <t>Ernest and Celestine: A Trip to Gibberitia</t>
  </si>
  <si>
    <t>tt16376512</t>
  </si>
  <si>
    <t>Free Chol Soo Lee</t>
  </si>
  <si>
    <t>tt0401085</t>
  </si>
  <si>
    <t>C.R.A.Z.Y.</t>
  </si>
  <si>
    <t>tt30321095</t>
  </si>
  <si>
    <t>Ghostlight</t>
  </si>
  <si>
    <t>tt23289160</t>
  </si>
  <si>
    <t>Godzilla Minus One</t>
  </si>
  <si>
    <t>tt22528178</t>
  </si>
  <si>
    <t>Kokomo City</t>
  </si>
  <si>
    <t>tt9185206</t>
  </si>
  <si>
    <t>Are You There God? It's Me, Margaret.</t>
  </si>
  <si>
    <t>tt16377862</t>
  </si>
  <si>
    <t>All That Breathes</t>
  </si>
  <si>
    <t>tt30319516</t>
  </si>
  <si>
    <t>Good One</t>
  </si>
  <si>
    <t>tt31392609</t>
  </si>
  <si>
    <t>How to Make Millions Before Grandma Dies</t>
  </si>
  <si>
    <t>tt23778968</t>
  </si>
  <si>
    <t>Thelma</t>
  </si>
  <si>
    <t>tt13429870</t>
  </si>
  <si>
    <t>Robot Dreams</t>
  </si>
  <si>
    <t>tt29354040</t>
  </si>
  <si>
    <t>Renaissance: A Film by BeyoncÃ©</t>
  </si>
  <si>
    <t>tt27074938</t>
  </si>
  <si>
    <t>Every Body</t>
  </si>
  <si>
    <t>tt14030682</t>
  </si>
  <si>
    <t>Who We Are: A Chronicle of Racism in America</t>
  </si>
  <si>
    <t>tt16227014</t>
  </si>
  <si>
    <t>Fire of Love</t>
  </si>
  <si>
    <t>tt4554690</t>
  </si>
  <si>
    <t>The Automat</t>
  </si>
  <si>
    <t>tt15339456</t>
  </si>
  <si>
    <t>Marcel the Shell with Shoes On</t>
  </si>
  <si>
    <t>tt14331144</t>
  </si>
  <si>
    <t>Jujutsu Kaisen 0</t>
  </si>
  <si>
    <t>tt32178949</t>
  </si>
  <si>
    <t>The Seed of the Sacred Fig</t>
  </si>
  <si>
    <t>tt4772188</t>
  </si>
  <si>
    <t>Flow</t>
  </si>
  <si>
    <t>tt19811010</t>
  </si>
  <si>
    <t>The Remarkable Life of Ibelin</t>
  </si>
  <si>
    <t>tt5674658</t>
  </si>
  <si>
    <t>Kensuke's Kingdom</t>
  </si>
  <si>
    <t>tt29623480</t>
  </si>
  <si>
    <t>The Wild Robot</t>
  </si>
  <si>
    <t>tt28491891</t>
  </si>
  <si>
    <t>His Three Daughters</t>
  </si>
  <si>
    <t>tt28479262</t>
  </si>
  <si>
    <t>Sing Sing</t>
  </si>
  <si>
    <t>tt11674730</t>
  </si>
  <si>
    <t>The Last Stop in Yuma County</t>
  </si>
  <si>
    <t>tt22890246</t>
  </si>
  <si>
    <t>How to Have Sex</t>
  </si>
  <si>
    <t>tt14966898</t>
  </si>
  <si>
    <t>Late Night with the Devil</t>
  </si>
  <si>
    <t>tt19760052</t>
  </si>
  <si>
    <t>The Taste of Things</t>
  </si>
  <si>
    <t>tt23736044</t>
  </si>
  <si>
    <t>Monster</t>
  </si>
  <si>
    <t>tt21867434</t>
  </si>
  <si>
    <t>BlackBerry</t>
  </si>
  <si>
    <t>tt14849194</t>
  </si>
  <si>
    <t>The Holdovers</t>
  </si>
  <si>
    <t>tt20561198</t>
  </si>
  <si>
    <t>The Promised Land</t>
  </si>
  <si>
    <t>tt13200006</t>
  </si>
  <si>
    <t>Shayda</t>
  </si>
  <si>
    <t>tt21027780</t>
  </si>
  <si>
    <t>Fallen Leaves</t>
  </si>
  <si>
    <t>tt18550182</t>
  </si>
  <si>
    <t>R.M.N.</t>
  </si>
  <si>
    <t>tt12427158</t>
  </si>
  <si>
    <t>A Thousand and One</t>
  </si>
  <si>
    <t>tt16378164</t>
  </si>
  <si>
    <t>The Territory</t>
  </si>
  <si>
    <t>tt19719836</t>
  </si>
  <si>
    <t>Return to Seoul</t>
  </si>
  <si>
    <t>tt16183464</t>
  </si>
  <si>
    <t>One Piece Film: Red</t>
  </si>
  <si>
    <t>tt15109082</t>
  </si>
  <si>
    <t>The Quiet Girl</t>
  </si>
  <si>
    <t>tt13204490</t>
  </si>
  <si>
    <t>Petite Maman</t>
  </si>
  <si>
    <t>tt14775784</t>
  </si>
  <si>
    <t>Great Freedom</t>
  </si>
  <si>
    <t>tt11204094</t>
  </si>
  <si>
    <t>The Duke</t>
  </si>
  <si>
    <t>tt30988739</t>
  </si>
  <si>
    <t>Black Bag</t>
  </si>
  <si>
    <t>tt30294282</t>
  </si>
  <si>
    <t>Porcelain War</t>
  </si>
  <si>
    <t>tt21823606</t>
  </si>
  <si>
    <t>A Real Pain</t>
  </si>
  <si>
    <t>tt22375054</t>
  </si>
  <si>
    <t>Strange Darling</t>
  </si>
  <si>
    <t>tt27367464</t>
  </si>
  <si>
    <t>Kneecap</t>
  </si>
  <si>
    <t>tt26470109</t>
  </si>
  <si>
    <t>Oddity</t>
  </si>
  <si>
    <t>tt21103576</t>
  </si>
  <si>
    <t>Fitting In</t>
  </si>
  <si>
    <t>tt17009710</t>
  </si>
  <si>
    <t>Anatomy of a Fall</t>
  </si>
  <si>
    <t>tt22207786</t>
  </si>
  <si>
    <t>Red Rooms</t>
  </si>
  <si>
    <t>tt21192142</t>
  </si>
  <si>
    <t>All of Us Strangers</t>
  </si>
  <si>
    <t>tt27503384</t>
  </si>
  <si>
    <t>Perfect Days</t>
  </si>
  <si>
    <t>tt6587046</t>
  </si>
  <si>
    <t>The Boy and the Heron</t>
  </si>
  <si>
    <t>tt14570440</t>
  </si>
  <si>
    <t>Radical</t>
  </si>
  <si>
    <t>tt16300962</t>
  </si>
  <si>
    <t>When Evil Lurks</t>
  </si>
  <si>
    <t>tt14225838</t>
  </si>
  <si>
    <t>Io Capitano</t>
  </si>
  <si>
    <t>tt9603212</t>
  </si>
  <si>
    <t>Mission: Impossible - Dead Reckoning Part One</t>
  </si>
  <si>
    <t>tt27502426</t>
  </si>
  <si>
    <t>Four Daughters</t>
  </si>
  <si>
    <t>tt19652910</t>
  </si>
  <si>
    <t>EO</t>
  </si>
  <si>
    <t>tt19770238</t>
  </si>
  <si>
    <t>Aftersun</t>
  </si>
  <si>
    <t>tt11813216</t>
  </si>
  <si>
    <t>The Banshees of Inisherin</t>
  </si>
  <si>
    <t>tt9051908</t>
  </si>
  <si>
    <t>Living</t>
  </si>
  <si>
    <t>tt4960748</t>
  </si>
  <si>
    <t>Till</t>
  </si>
  <si>
    <t>tt15301048</t>
  </si>
  <si>
    <t>Argentina, 1985</t>
  </si>
  <si>
    <t>tt14071694</t>
  </si>
  <si>
    <t>Turn Every Page: The Adventures of Robert Caro and Robert Gottlieb</t>
  </si>
  <si>
    <t>tt13782428</t>
  </si>
  <si>
    <t>Julia</t>
  </si>
  <si>
    <t>tt1745960</t>
  </si>
  <si>
    <t>Top Gun: Maverick</t>
  </si>
  <si>
    <t>tt8178634</t>
  </si>
  <si>
    <t>RRR</t>
  </si>
  <si>
    <t>tt17511190</t>
  </si>
  <si>
    <t>Facing Nolan</t>
  </si>
  <si>
    <t>tt11700260</t>
  </si>
  <si>
    <t>Official Competition</t>
  </si>
  <si>
    <t>tt28613536</t>
  </si>
  <si>
    <t>Bob Trevino Likes It</t>
  </si>
  <si>
    <t>tt11891850</t>
  </si>
  <si>
    <t>Hard Truths</t>
  </si>
  <si>
    <t>tt28523838</t>
  </si>
  <si>
    <t>Exhibiting Forgiveness</t>
  </si>
  <si>
    <t>tt23770030</t>
  </si>
  <si>
    <t>Memoir of a Snail</t>
  </si>
  <si>
    <t>tt11301886</t>
  </si>
  <si>
    <t>Rebel Ridge</t>
  </si>
  <si>
    <t>tt20215968</t>
  </si>
  <si>
    <t>Hit Man</t>
  </si>
  <si>
    <t>tt26744289</t>
  </si>
  <si>
    <t>Infested</t>
  </si>
  <si>
    <t>tt14561712</t>
  </si>
  <si>
    <t>La Chimera</t>
  </si>
  <si>
    <t>tt21996838</t>
  </si>
  <si>
    <t>Mister Organ</t>
  </si>
  <si>
    <t>tt9048804</t>
  </si>
  <si>
    <t>Birth/Rebirth</t>
  </si>
  <si>
    <t>tt8589698</t>
  </si>
  <si>
    <t>Teenage Mutant Ninja Turtles: Mutant Mayhem</t>
  </si>
  <si>
    <t>tt9873892</t>
  </si>
  <si>
    <t>They Cloned Tyrone</t>
  </si>
  <si>
    <t>tt13238346</t>
  </si>
  <si>
    <t>Past Lives</t>
  </si>
  <si>
    <t>tt9362722</t>
  </si>
  <si>
    <t>Spider-Man: Across the Spider-Verse</t>
  </si>
  <si>
    <t>tt26612950</t>
  </si>
  <si>
    <t>The Teachers' Lounge</t>
  </si>
  <si>
    <t>tt21440780</t>
  </si>
  <si>
    <t>How to Blow Up a Pipeline</t>
  </si>
  <si>
    <t>tt21374850</t>
  </si>
  <si>
    <t>All the Beauty and the Bloodshed</t>
  </si>
  <si>
    <t>tt13874422</t>
  </si>
  <si>
    <t>The Eternal Daughter</t>
  </si>
  <si>
    <t>tt15376894</t>
  </si>
  <si>
    <t>Saint Omer</t>
  </si>
  <si>
    <t>tt12691830</t>
  </si>
  <si>
    <t>A Love Song</t>
  </si>
  <si>
    <t>tt14614892</t>
  </si>
  <si>
    <t>Dragon Ball Super: Super Hero</t>
  </si>
  <si>
    <t>tt8097030</t>
  </si>
  <si>
    <t>Turning Red</t>
  </si>
  <si>
    <t>tt32085997</t>
  </si>
  <si>
    <t>Misericordia</t>
  </si>
  <si>
    <t>tt22022784</t>
  </si>
  <si>
    <t>My Dead Friend Zoe</t>
  </si>
  <si>
    <t>tt32221196</t>
  </si>
  <si>
    <t>One of Them Days</t>
  </si>
  <si>
    <t>tt28244549</t>
  </si>
  <si>
    <t>Grand Theft Hamlet</t>
  </si>
  <si>
    <t>tt28821371</t>
  </si>
  <si>
    <t>MadS</t>
  </si>
  <si>
    <t>tt24244436</t>
  </si>
  <si>
    <t>Housekeeping for Beginners</t>
  </si>
  <si>
    <t>tt26448981</t>
  </si>
  <si>
    <t>Orlando: My Political Biography</t>
  </si>
  <si>
    <t>tt19637052</t>
  </si>
  <si>
    <t>Love Lies Bleeding</t>
  </si>
  <si>
    <t>tt26684398</t>
  </si>
  <si>
    <t>Spy x Family Code: White</t>
  </si>
  <si>
    <t>tt10370812</t>
  </si>
  <si>
    <t>The Settlers</t>
  </si>
  <si>
    <t>tt15560314</t>
  </si>
  <si>
    <t>The Monk and the Gun</t>
  </si>
  <si>
    <t>tt21270966</t>
  </si>
  <si>
    <t>Scrambled</t>
  </si>
  <si>
    <t>tt15771916</t>
  </si>
  <si>
    <t>You Hurt My Feelings</t>
  </si>
  <si>
    <t>tt28097834</t>
  </si>
  <si>
    <t>The Mission</t>
  </si>
  <si>
    <t>tt16252698</t>
  </si>
  <si>
    <t>Passages</t>
  </si>
  <si>
    <t>tt8649252</t>
  </si>
  <si>
    <t>Scrapper</t>
  </si>
  <si>
    <t>tt24068064</t>
  </si>
  <si>
    <t>Reality</t>
  </si>
  <si>
    <t>tt13885492</t>
  </si>
  <si>
    <t>Little Richard: I Am Everything</t>
  </si>
  <si>
    <t>tt14846026</t>
  </si>
  <si>
    <t>Sisu</t>
  </si>
  <si>
    <t>tt15471560</t>
  </si>
  <si>
    <t>Smoking Causes Coughing</t>
  </si>
  <si>
    <t>tt10366206</t>
  </si>
  <si>
    <t>John Wick: Chapter 4</t>
  </si>
  <si>
    <t>tt8093700</t>
  </si>
  <si>
    <t>The Woman King</t>
  </si>
  <si>
    <t>tt11866324</t>
  </si>
  <si>
    <t>Prey</t>
  </si>
  <si>
    <t>tt5151570</t>
  </si>
  <si>
    <t>Mrs. Harris Goes to Paris</t>
  </si>
  <si>
    <t>tt9288046</t>
  </si>
  <si>
    <t>The Sea Beast</t>
  </si>
  <si>
    <t>tt13352968</t>
  </si>
  <si>
    <t>Good Luck to You, Leo Grande</t>
  </si>
  <si>
    <t>tt8009428</t>
  </si>
  <si>
    <t>Hustle</t>
  </si>
  <si>
    <t>tt13056052</t>
  </si>
  <si>
    <t>Broker</t>
  </si>
  <si>
    <t>tt15218000</t>
  </si>
  <si>
    <t>Fire Island</t>
  </si>
  <si>
    <t>tt13560574</t>
  </si>
  <si>
    <t>X</t>
  </si>
  <si>
    <t>tt26625693</t>
  </si>
  <si>
    <t>The Order</t>
  </si>
  <si>
    <t>tt5822536</t>
  </si>
  <si>
    <t>Paddington in Peru</t>
  </si>
  <si>
    <t>tt24805832</t>
  </si>
  <si>
    <t>In the Summers</t>
  </si>
  <si>
    <t>tt26584495</t>
  </si>
  <si>
    <t>Companion</t>
  </si>
  <si>
    <t>tt8999762</t>
  </si>
  <si>
    <t>The Brutalist</t>
  </si>
  <si>
    <t>tt6133444</t>
  </si>
  <si>
    <t>The Fire Inside</t>
  </si>
  <si>
    <t>tt27403986</t>
  </si>
  <si>
    <t>Juror #2</t>
  </si>
  <si>
    <t>tt28607951</t>
  </si>
  <si>
    <t>Anora</t>
  </si>
  <si>
    <t>tt27196021</t>
  </si>
  <si>
    <t>Small Things Like These</t>
  </si>
  <si>
    <t>tt20215234</t>
  </si>
  <si>
    <t>Conclave</t>
  </si>
  <si>
    <t>tt21097228</t>
  </si>
  <si>
    <t>A Different Man</t>
  </si>
  <si>
    <t>tt28618488</t>
  </si>
  <si>
    <t>Vermiglio</t>
  </si>
  <si>
    <t>tt23468836</t>
  </si>
  <si>
    <t>Touch</t>
  </si>
  <si>
    <t>tt7160372</t>
  </si>
  <si>
    <t>The Zone of Interest</t>
  </si>
  <si>
    <t>tt23561236</t>
  </si>
  <si>
    <t>American Fiction</t>
  </si>
  <si>
    <t>tt5537002</t>
  </si>
  <si>
    <t>Killers of the Flower Moon</t>
  </si>
  <si>
    <t>tt28639049</t>
  </si>
  <si>
    <t>We Grown Now</t>
  </si>
  <si>
    <t>tt13729232</t>
  </si>
  <si>
    <t>The Origin of Evil</t>
  </si>
  <si>
    <t>tt15398776</t>
  </si>
  <si>
    <t>Oppenheimer</t>
  </si>
  <si>
    <t>tt16419074</t>
  </si>
  <si>
    <t>Air</t>
  </si>
  <si>
    <t>tt8760708</t>
  </si>
  <si>
    <t>M3GAN</t>
  </si>
  <si>
    <t>tt14641788</t>
  </si>
  <si>
    <t>Enola Holmes 2</t>
  </si>
  <si>
    <t>tt8129806</t>
  </si>
  <si>
    <t>To Leslie</t>
  </si>
  <si>
    <t>tt13482828</t>
  </si>
  <si>
    <t>One Fine Morning</t>
  </si>
  <si>
    <t>tt18925334</t>
  </si>
  <si>
    <t>Pearl</t>
  </si>
  <si>
    <t>tt15255876</t>
  </si>
  <si>
    <t>Emily the Criminal</t>
  </si>
  <si>
    <t>tt1461238</t>
  </si>
  <si>
    <t>Kurt Vonnegut: Unstuck in Time</t>
  </si>
  <si>
    <t>tt8296030</t>
  </si>
  <si>
    <t>You Won't Be Alone</t>
  </si>
  <si>
    <t>tt13559026</t>
  </si>
  <si>
    <t>Jockey</t>
  </si>
  <si>
    <t>tt6710474</t>
  </si>
  <si>
    <t>Everything Everywhere All at Once</t>
  </si>
  <si>
    <t>tt23055660</t>
  </si>
  <si>
    <t>Nickel Boys</t>
  </si>
  <si>
    <t>tt34956443</t>
  </si>
  <si>
    <t>Ne Zha 2</t>
  </si>
  <si>
    <t>tt23951384</t>
  </si>
  <si>
    <t>The Colors Within</t>
  </si>
  <si>
    <t>tt10236164</t>
  </si>
  <si>
    <t>The Girl with the Needle</t>
  </si>
  <si>
    <t>tt28082769</t>
  </si>
  <si>
    <t>tt2347285</t>
  </si>
  <si>
    <t>The Best Christmas Pageant Ever</t>
  </si>
  <si>
    <t>tt28349451</t>
  </si>
  <si>
    <t>The Shadow Strays</t>
  </si>
  <si>
    <t>tt32627540</t>
  </si>
  <si>
    <t>Watchmen: Chapter I</t>
  </si>
  <si>
    <t>tt13231544</t>
  </si>
  <si>
    <t>About Dry Grasses</t>
  </si>
  <si>
    <t>tt15239678</t>
  </si>
  <si>
    <t>Dune: Part Two</t>
  </si>
  <si>
    <t>tt14230458</t>
  </si>
  <si>
    <t>Poor Things</t>
  </si>
  <si>
    <t>tt27145269</t>
  </si>
  <si>
    <t>Mr. Monk's Last Case: A Monk Movie</t>
  </si>
  <si>
    <t>tt21156390</t>
  </si>
  <si>
    <t>The Starling Girl</t>
  </si>
  <si>
    <t>tt19500164</t>
  </si>
  <si>
    <t>Nimona</t>
  </si>
  <si>
    <t>tt19623228</t>
  </si>
  <si>
    <t>Godland</t>
  </si>
  <si>
    <t>tt9883832</t>
  </si>
  <si>
    <t>Moonage Daydream</t>
  </si>
  <si>
    <t>tt14097180</t>
  </si>
  <si>
    <t>Somewhere in Queens</t>
  </si>
  <si>
    <t>tt14208870</t>
  </si>
  <si>
    <t>The Fabelmans</t>
  </si>
  <si>
    <t>tt11897478</t>
  </si>
  <si>
    <t>The Stranger</t>
  </si>
  <si>
    <t>tt15791034</t>
  </si>
  <si>
    <t>Barbarian</t>
  </si>
  <si>
    <t>tt15090124</t>
  </si>
  <si>
    <t>Mad God</t>
  </si>
  <si>
    <t>tt14403504</t>
  </si>
  <si>
    <t>Last Breath</t>
  </si>
  <si>
    <t>tt22803220</t>
  </si>
  <si>
    <t>National Anthem</t>
  </si>
  <si>
    <t>tt7737800</t>
  </si>
  <si>
    <t>Woman of the Hour</t>
  </si>
  <si>
    <t>tt13097932</t>
  </si>
  <si>
    <t>One Life</t>
  </si>
  <si>
    <t>tt22022452</t>
  </si>
  <si>
    <t>Inside Out 2</t>
  </si>
  <si>
    <t>tt14852624</t>
  </si>
  <si>
    <t>Stopmotion</t>
  </si>
  <si>
    <t>tt17527468</t>
  </si>
  <si>
    <t>Bottoms</t>
  </si>
  <si>
    <t>tt28066777</t>
  </si>
  <si>
    <t>Orion and the Dark</t>
  </si>
  <si>
    <t>TV-Y7</t>
  </si>
  <si>
    <t>tt13651794</t>
  </si>
  <si>
    <t>May December</t>
  </si>
  <si>
    <t>tt21942866</t>
  </si>
  <si>
    <t>Dream Scenario</t>
  </si>
  <si>
    <t>tt8511466</t>
  </si>
  <si>
    <t>Aporia</t>
  </si>
  <si>
    <t>tt21276878</t>
  </si>
  <si>
    <t>You Are So Not Invited to My Bat Mitzvah</t>
  </si>
  <si>
    <t>tt26520932</t>
  </si>
  <si>
    <t>Wild Life</t>
  </si>
  <si>
    <t>tt18257464</t>
  </si>
  <si>
    <t>Polite Society</t>
  </si>
  <si>
    <t>tt11564570</t>
  </si>
  <si>
    <t>Glass Onion</t>
  </si>
  <si>
    <t>tt14641542</t>
  </si>
  <si>
    <t>The Eight Mountains</t>
  </si>
  <si>
    <t>tt9660502</t>
  </si>
  <si>
    <t>Close</t>
  </si>
  <si>
    <t>tt10399608</t>
  </si>
  <si>
    <t>Piggy</t>
  </si>
  <si>
    <t>tt20225374</t>
  </si>
  <si>
    <t>Vesper</t>
  </si>
  <si>
    <t>tt10540510</t>
  </si>
  <si>
    <t>Inu-oh</t>
  </si>
  <si>
    <t>tt13650600</t>
  </si>
  <si>
    <t>Emergency</t>
  </si>
  <si>
    <t>tt13266998</t>
  </si>
  <si>
    <t>Bull</t>
  </si>
  <si>
    <t>tt28015403</t>
  </si>
  <si>
    <t>Heretic</t>
  </si>
  <si>
    <t>tt32880932</t>
  </si>
  <si>
    <t>V/H/S/Beyond</t>
  </si>
  <si>
    <t>tt18559464</t>
  </si>
  <si>
    <t>My Old Ass</t>
  </si>
  <si>
    <t>tt28259207</t>
  </si>
  <si>
    <t>Kill</t>
  </si>
  <si>
    <t>tt12037194</t>
  </si>
  <si>
    <t>Furiosa: A Mad Max Saga</t>
  </si>
  <si>
    <t>tt20316748</t>
  </si>
  <si>
    <t>Twilight of the Warriors: Walled In</t>
  </si>
  <si>
    <t>tt15353574</t>
  </si>
  <si>
    <t>Hard Miles</t>
  </si>
  <si>
    <t>tt14351082</t>
  </si>
  <si>
    <t>Cabrini</t>
  </si>
  <si>
    <t>tt24216998</t>
  </si>
  <si>
    <t>Humanist Vampire Seeking Consenting Suicidal Person</t>
  </si>
  <si>
    <t>tt16277242</t>
  </si>
  <si>
    <t>Society of the Snow</t>
  </si>
  <si>
    <t>tt11534720</t>
  </si>
  <si>
    <t>All Dirt Roads Taste of Salt</t>
  </si>
  <si>
    <t>tt16424988</t>
  </si>
  <si>
    <t>Your Lucky Day</t>
  </si>
  <si>
    <t>tt15268244</t>
  </si>
  <si>
    <t>Joy Ride</t>
  </si>
  <si>
    <t>tt13669038</t>
  </si>
  <si>
    <t>Women Talking</t>
  </si>
  <si>
    <t>tt11116912</t>
  </si>
  <si>
    <t>Troll</t>
  </si>
  <si>
    <t>tt1016150</t>
  </si>
  <si>
    <t>All Quiet on the Western Front</t>
  </si>
  <si>
    <t>tt11138512</t>
  </si>
  <si>
    <t>The Northman</t>
  </si>
  <si>
    <t>tt14186876</t>
  </si>
  <si>
    <t>Bring Them Down</t>
  </si>
  <si>
    <t>tt14260836</t>
  </si>
  <si>
    <t>Better Man</t>
  </si>
  <si>
    <t>tt15010692</t>
  </si>
  <si>
    <t>The Damned</t>
  </si>
  <si>
    <t>tt10243672</t>
  </si>
  <si>
    <t>Joy</t>
  </si>
  <si>
    <t>tt8864596</t>
  </si>
  <si>
    <t>Transformers One</t>
  </si>
  <si>
    <t>tt17526714</t>
  </si>
  <si>
    <t>The Substance</t>
  </si>
  <si>
    <t>tt9214772</t>
  </si>
  <si>
    <t>Monkey Man</t>
  </si>
  <si>
    <t>tt21810682</t>
  </si>
  <si>
    <t>The End We Start From</t>
  </si>
  <si>
    <t>tt21874760</t>
  </si>
  <si>
    <t>The Coffee Table</t>
  </si>
  <si>
    <t>16+</t>
  </si>
  <si>
    <t>tt21064584</t>
  </si>
  <si>
    <t>The Iron Claw</t>
  </si>
  <si>
    <t>tt18363072</t>
  </si>
  <si>
    <t>The Royal Hotel</t>
  </si>
  <si>
    <t>tt20916568</t>
  </si>
  <si>
    <t>The Wrath of Becky</t>
  </si>
  <si>
    <t>tt13923216</t>
  </si>
  <si>
    <t>Showing Up</t>
  </si>
  <si>
    <t>tt11145118</t>
  </si>
  <si>
    <t>Creed III</t>
  </si>
  <si>
    <t>tt10855768</t>
  </si>
  <si>
    <t>Missing</t>
  </si>
  <si>
    <t>tt14895716</t>
  </si>
  <si>
    <t>Something in the Dirt</t>
  </si>
  <si>
    <t>tt5176580</t>
  </si>
  <si>
    <t>Wild Nights with Emily</t>
  </si>
  <si>
    <t>tt9340892</t>
  </si>
  <si>
    <t>All My Friends Hate Me</t>
  </si>
  <si>
    <t>tt8633464</t>
  </si>
  <si>
    <t>After Yang</t>
  </si>
  <si>
    <t>tt32063050</t>
  </si>
  <si>
    <t>Bridget Jones: Mad About the Boy</t>
  </si>
  <si>
    <t>tt28249919</t>
  </si>
  <si>
    <t>Presence</t>
  </si>
  <si>
    <t>tt21382296</t>
  </si>
  <si>
    <t>Carry-On</t>
  </si>
  <si>
    <t>tt1262426</t>
  </si>
  <si>
    <t>Wicked</t>
  </si>
  <si>
    <t>tt15507512</t>
  </si>
  <si>
    <t>The Piano Lesson</t>
  </si>
  <si>
    <t>tt1340094</t>
  </si>
  <si>
    <t>The Crow</t>
  </si>
  <si>
    <t>tt5177114</t>
  </si>
  <si>
    <t>Young Woman and the Sea</t>
  </si>
  <si>
    <t>tt16426418</t>
  </si>
  <si>
    <t>Challengers</t>
  </si>
  <si>
    <t>tt9428746</t>
  </si>
  <si>
    <t>Aristotle and Dante Discover the Secrets of the Universe</t>
  </si>
  <si>
    <t>tt21979910</t>
  </si>
  <si>
    <t>The Passenger</t>
  </si>
  <si>
    <t>tt1517268</t>
  </si>
  <si>
    <t>Barbie</t>
  </si>
  <si>
    <t>tt15364972</t>
  </si>
  <si>
    <t>Sanctuary</t>
  </si>
  <si>
    <t>tt14967472</t>
  </si>
  <si>
    <t>Of an Age</t>
  </si>
  <si>
    <t>tt13495458</t>
  </si>
  <si>
    <t>The Inspection</t>
  </si>
  <si>
    <t>tt11198810</t>
  </si>
  <si>
    <t>She Said</t>
  </si>
  <si>
    <t>tt9764362</t>
  </si>
  <si>
    <t>The Menu</t>
  </si>
  <si>
    <t>tt9731598</t>
  </si>
  <si>
    <t>Bros</t>
  </si>
  <si>
    <t>tt7600742</t>
  </si>
  <si>
    <t>Hallelujah: Leonard Cohen, a Journey, a Song</t>
  </si>
  <si>
    <t>tt12004038</t>
  </si>
  <si>
    <t>Watcher</t>
  </si>
  <si>
    <t>tt13872248</t>
  </si>
  <si>
    <t>The Sadness</t>
  </si>
  <si>
    <t>tt1633359</t>
  </si>
  <si>
    <t>The Toxic Avenger</t>
  </si>
  <si>
    <t>tt28007064</t>
  </si>
  <si>
    <t>Superboys of Malegaon</t>
  </si>
  <si>
    <t>tt21276958</t>
  </si>
  <si>
    <t>Babes</t>
  </si>
  <si>
    <t>tt18317064</t>
  </si>
  <si>
    <t>Tori and Lokita</t>
  </si>
  <si>
    <t>tt11703244</t>
  </si>
  <si>
    <t>The Blackening</t>
  </si>
  <si>
    <t>tt10365998</t>
  </si>
  <si>
    <t>Infinity Pool</t>
  </si>
  <si>
    <t>tt7775720</t>
  </si>
  <si>
    <t>Spoiler Alert</t>
  </si>
  <si>
    <t>tt10403420</t>
  </si>
  <si>
    <t>Terrifier 2</t>
  </si>
  <si>
    <t>tt15445056</t>
  </si>
  <si>
    <t>Athena</t>
  </si>
  <si>
    <t>tt20168564</t>
  </si>
  <si>
    <t>Alienoid</t>
  </si>
  <si>
    <t>tt13656980</t>
  </si>
  <si>
    <t>Montana Story</t>
  </si>
  <si>
    <t>tt7466442</t>
  </si>
  <si>
    <t>The Bob's Burgers Movie</t>
  </si>
  <si>
    <t>tt11703710</t>
  </si>
  <si>
    <t>Downton Abbey: A New Era</t>
  </si>
  <si>
    <t>tt8115900</t>
  </si>
  <si>
    <t>The Bad Guys</t>
  </si>
  <si>
    <t>tt11291274</t>
  </si>
  <si>
    <t>The Unbearable Weight of Massive Talent</t>
  </si>
  <si>
    <t>tt6462958</t>
  </si>
  <si>
    <t>I Want You Back</t>
  </si>
  <si>
    <t>tt15352542</t>
  </si>
  <si>
    <t>The Day the Earth Blew Up: A Looney Tunes Movie</t>
  </si>
  <si>
    <t>tt28277817</t>
  </si>
  <si>
    <t>Bird</t>
  </si>
  <si>
    <t>tt18259086</t>
  </si>
  <si>
    <t>Sonic the Hedgehog 3</t>
  </si>
  <si>
    <t>tt29268110</t>
  </si>
  <si>
    <t>Smile 2</t>
  </si>
  <si>
    <t>tt8609660</t>
  </si>
  <si>
    <t>My Penguin Friend</t>
  </si>
  <si>
    <t>tt14407336</t>
  </si>
  <si>
    <t>The Beast</t>
  </si>
  <si>
    <t>tt13433802</t>
  </si>
  <si>
    <t>A Quiet Place: Day One</t>
  </si>
  <si>
    <t>tt22773644</t>
  </si>
  <si>
    <t>The Dead Don't Hurt</t>
  </si>
  <si>
    <t>tt14137416</t>
  </si>
  <si>
    <t>Kidnapped: The Abduction of Edgardo Mortara</t>
  </si>
  <si>
    <t>tt18558306</t>
  </si>
  <si>
    <t>The Delinquents</t>
  </si>
  <si>
    <t>tt5302918</t>
  </si>
  <si>
    <t>Nyad</t>
  </si>
  <si>
    <t>tt16304446</t>
  </si>
  <si>
    <t>Fair Play</t>
  </si>
  <si>
    <t>tt21232992</t>
  </si>
  <si>
    <t>Theater Camp</t>
  </si>
  <si>
    <t>tt15428940</t>
  </si>
  <si>
    <t>Jules</t>
  </si>
  <si>
    <t>tt14308636</t>
  </si>
  <si>
    <t>Bank of Dave</t>
  </si>
  <si>
    <t>tt14642626</t>
  </si>
  <si>
    <t>Sick</t>
  </si>
  <si>
    <t>tt14369780</t>
  </si>
  <si>
    <t>Lady Chatterley's Lover</t>
  </si>
  <si>
    <t>tt12718300</t>
  </si>
  <si>
    <t>Confess, Fletch</t>
  </si>
  <si>
    <t>tt13327038</t>
  </si>
  <si>
    <t>Do Revenge</t>
  </si>
  <si>
    <t>tt8110652</t>
  </si>
  <si>
    <t>Bodies Bodies Bodies</t>
  </si>
  <si>
    <t>tt16491324</t>
  </si>
  <si>
    <t>Honor Society</t>
  </si>
  <si>
    <t>tt9242528</t>
  </si>
  <si>
    <t>The Survivor</t>
  </si>
  <si>
    <t>tt12572040</t>
  </si>
  <si>
    <t>The Phantom of the Open</t>
  </si>
  <si>
    <t>tt14114802</t>
  </si>
  <si>
    <t>The Outfit</t>
  </si>
  <si>
    <t>tt10365912</t>
  </si>
  <si>
    <t>Becoming Led Zeppelin</t>
  </si>
  <si>
    <t>tt5040012</t>
  </si>
  <si>
    <t>Nosferatu</t>
  </si>
  <si>
    <t>tt1121948</t>
  </si>
  <si>
    <t>The Killer</t>
  </si>
  <si>
    <t>tt23468450</t>
  </si>
  <si>
    <t>Longlegs</t>
  </si>
  <si>
    <t>tt28366692</t>
  </si>
  <si>
    <t>Janet Planet</t>
  </si>
  <si>
    <t>tt15574270</t>
  </si>
  <si>
    <t>I Saw the TV Glow</t>
  </si>
  <si>
    <t>tt15078804</t>
  </si>
  <si>
    <t>Problemista</t>
  </si>
  <si>
    <t>tt21987878</t>
  </si>
  <si>
    <t>Day of the Fight</t>
  </si>
  <si>
    <t>tt7527682</t>
  </si>
  <si>
    <t>Out of Darkness</t>
  </si>
  <si>
    <t>tt19864828</t>
  </si>
  <si>
    <t>Memory</t>
  </si>
  <si>
    <t>tt1136617</t>
  </si>
  <si>
    <t>tt11426232</t>
  </si>
  <si>
    <t>Totally Killer</t>
  </si>
  <si>
    <t>tt14483774</t>
  </si>
  <si>
    <t>Shortcomings</t>
  </si>
  <si>
    <t>tt13391708</t>
  </si>
  <si>
    <t>The Five Devils</t>
  </si>
  <si>
    <t>tt13345606</t>
  </si>
  <si>
    <t>Evil Dead Rise</t>
  </si>
  <si>
    <t>tt16378064</t>
  </si>
  <si>
    <t>To the End</t>
  </si>
  <si>
    <t>tt9288822</t>
  </si>
  <si>
    <t>The Wonder</t>
  </si>
  <si>
    <t>tt17076046</t>
  </si>
  <si>
    <t>Weird: The Al Yankovic Story</t>
  </si>
  <si>
    <t>tt15010292</t>
  </si>
  <si>
    <t>Flux Gourmet</t>
  </si>
  <si>
    <t>tt13270424</t>
  </si>
  <si>
    <t>Brian and Charles</t>
  </si>
  <si>
    <t>tt12262116</t>
  </si>
  <si>
    <t>Thirteen Lives</t>
  </si>
  <si>
    <t>tt13406136</t>
  </si>
  <si>
    <t>The Princess</t>
  </si>
  <si>
    <t>tt14376344</t>
  </si>
  <si>
    <t>Cha Cha Real Smooth</t>
  </si>
  <si>
    <t>tt11160650</t>
  </si>
  <si>
    <t>On the Count of Three</t>
  </si>
  <si>
    <t>tt1877830</t>
  </si>
  <si>
    <t>The Batman</t>
  </si>
  <si>
    <t>tt12889404</t>
  </si>
  <si>
    <t>Cyrano</t>
  </si>
  <si>
    <t>tt8128276</t>
  </si>
  <si>
    <t>Ted K</t>
  </si>
  <si>
    <t>tt32768323</t>
  </si>
  <si>
    <t>The Assessment</t>
  </si>
  <si>
    <t>tt27722375</t>
  </si>
  <si>
    <t>Between the Temples</t>
  </si>
  <si>
    <t>tt15140278</t>
  </si>
  <si>
    <t>Coup de Chance</t>
  </si>
  <si>
    <t>tt4996328</t>
  </si>
  <si>
    <t>Ordinary Angels</t>
  </si>
  <si>
    <t>tt6337816</t>
  </si>
  <si>
    <t>Monica</t>
  </si>
  <si>
    <t>tt24076146</t>
  </si>
  <si>
    <t>The Persian Version</t>
  </si>
  <si>
    <t>tt22041854</t>
  </si>
  <si>
    <t>Priscilla</t>
  </si>
  <si>
    <t>tt13957560</t>
  </si>
  <si>
    <t>Dumb Money</t>
  </si>
  <si>
    <t>tt19896150</t>
  </si>
  <si>
    <t>The Angry Black Girl and Her Monster</t>
  </si>
  <si>
    <t>tt13846494</t>
  </si>
  <si>
    <t>Medusa</t>
  </si>
  <si>
    <t>tt11687104</t>
  </si>
  <si>
    <t>Alice, Darling</t>
  </si>
  <si>
    <t>tt9114286</t>
  </si>
  <si>
    <t>Black Panther: Wakanda Forever</t>
  </si>
  <si>
    <t>tt10192406</t>
  </si>
  <si>
    <t>Causeway</t>
  </si>
  <si>
    <t>tt21967916</t>
  </si>
  <si>
    <t>The Dead Thing</t>
  </si>
  <si>
    <t>tt31193791</t>
  </si>
  <si>
    <t>The Last Showgirl</t>
  </si>
  <si>
    <t>tt31064841</t>
  </si>
  <si>
    <t>Piece by Piece</t>
  </si>
  <si>
    <t>tt27534307</t>
  </si>
  <si>
    <t>Speak No Evil</t>
  </si>
  <si>
    <t>tt18573650</t>
  </si>
  <si>
    <t>The Blue Angels</t>
  </si>
  <si>
    <t>G</t>
  </si>
  <si>
    <t>tt27489557</t>
  </si>
  <si>
    <t>Abigail</t>
  </si>
  <si>
    <t>tt5672290</t>
  </si>
  <si>
    <t>The First Omen</t>
  </si>
  <si>
    <t>tt15782690</t>
  </si>
  <si>
    <t>In the Land of Saints and Sinners</t>
  </si>
  <si>
    <t>tt8337264</t>
  </si>
  <si>
    <t>Chicken Run: Dawn of the Nugget</t>
  </si>
  <si>
    <t>tt1448754</t>
  </si>
  <si>
    <t>Thanksgiving</t>
  </si>
  <si>
    <t>tt14509110</t>
  </si>
  <si>
    <t>No One Will Save You</t>
  </si>
  <si>
    <t>tt13539646</t>
  </si>
  <si>
    <t>The Wandering Earth II</t>
  </si>
  <si>
    <t>tt10954984</t>
  </si>
  <si>
    <t>Nope</t>
  </si>
  <si>
    <t>tt12545566</t>
  </si>
  <si>
    <t>Mr. Malcolm's List</t>
  </si>
  <si>
    <t>tt1879016</t>
  </si>
  <si>
    <t>Operation Mincemeat</t>
  </si>
  <si>
    <t>tt15096128</t>
  </si>
  <si>
    <t>Crush</t>
  </si>
  <si>
    <t>tt14253846</t>
  </si>
  <si>
    <t>tt10954718</t>
  </si>
  <si>
    <t>Dog Man</t>
  </si>
  <si>
    <t>tt11563598</t>
  </si>
  <si>
    <t>A Complete Unknown</t>
  </si>
  <si>
    <t>tt21247132</t>
  </si>
  <si>
    <t>Meanwhile on Earth</t>
  </si>
  <si>
    <t>tt10171472</t>
  </si>
  <si>
    <t>Goodrich</t>
  </si>
  <si>
    <t>tt8368368</t>
  </si>
  <si>
    <t>The Apprentice</t>
  </si>
  <si>
    <t>tt11687002</t>
  </si>
  <si>
    <t>The Outrun</t>
  </si>
  <si>
    <t>tt1684562</t>
  </si>
  <si>
    <t>The Fall Guy</t>
  </si>
  <si>
    <t>tt7738330</t>
  </si>
  <si>
    <t>The Long Game</t>
  </si>
  <si>
    <t>tt22004344</t>
  </si>
  <si>
    <t>Snack Shack</t>
  </si>
  <si>
    <t>tt16431966</t>
  </si>
  <si>
    <t>Sometimes I Think About Dying</t>
  </si>
  <si>
    <t>tt13321244</t>
  </si>
  <si>
    <t>Origin</t>
  </si>
  <si>
    <t>tt6166392</t>
  </si>
  <si>
    <t>Wonka</t>
  </si>
  <si>
    <t>tt5755238</t>
  </si>
  <si>
    <t>Leo</t>
  </si>
  <si>
    <t>tt13483866</t>
  </si>
  <si>
    <t>Linoleum</t>
  </si>
  <si>
    <t>tt6791350</t>
  </si>
  <si>
    <t>Guardians of the Galaxy Vol. 3</t>
  </si>
  <si>
    <t>tt4873118</t>
  </si>
  <si>
    <t>Guy Ritchie's the Covenant</t>
  </si>
  <si>
    <t>tt14960854</t>
  </si>
  <si>
    <t>Swallowed</t>
  </si>
  <si>
    <t>tt12844910</t>
  </si>
  <si>
    <t>Pathaan</t>
  </si>
  <si>
    <t>tt10168670</t>
  </si>
  <si>
    <t>Bones and All</t>
  </si>
  <si>
    <t>tt8745676</t>
  </si>
  <si>
    <t>The Swimmers</t>
  </si>
  <si>
    <t>tt7461272</t>
  </si>
  <si>
    <t>Call Jane</t>
  </si>
  <si>
    <t>tt0420291</t>
  </si>
  <si>
    <t>Keane</t>
  </si>
  <si>
    <t>tt11540726</t>
  </si>
  <si>
    <t>Resurrection</t>
  </si>
  <si>
    <t>tt11976532</t>
  </si>
  <si>
    <t>Vengeance</t>
  </si>
  <si>
    <t>tt13403046</t>
  </si>
  <si>
    <t>Fresh</t>
  </si>
  <si>
    <t>tt29603959</t>
  </si>
  <si>
    <t>Novocaine</t>
  </si>
  <si>
    <t>tt23398348</t>
  </si>
  <si>
    <t>Rule Breakers</t>
  </si>
  <si>
    <t>tt15939198</t>
  </si>
  <si>
    <t>Blitz</t>
  </si>
  <si>
    <t>tt20202324</t>
  </si>
  <si>
    <t>Magpie</t>
  </si>
  <si>
    <t>tt11225626</t>
  </si>
  <si>
    <t>Am I OK?</t>
  </si>
  <si>
    <t>tt0065976</t>
  </si>
  <si>
    <t>Let It Be</t>
  </si>
  <si>
    <t>tt17279496</t>
  </si>
  <si>
    <t>Civil War</t>
  </si>
  <si>
    <t>tt1200263</t>
  </si>
  <si>
    <t>The Color Purple</t>
  </si>
  <si>
    <t>tt5198890</t>
  </si>
  <si>
    <t>Eileen</t>
  </si>
  <si>
    <t>tt21807222</t>
  </si>
  <si>
    <t>Saw X</t>
  </si>
  <si>
    <t>tt19319352</t>
  </si>
  <si>
    <t>Mayhem!</t>
  </si>
  <si>
    <t>tt12758060</t>
  </si>
  <si>
    <t>Tetris</t>
  </si>
  <si>
    <t>tt7693316</t>
  </si>
  <si>
    <t>Devotion</t>
  </si>
  <si>
    <t>tt12311620</t>
  </si>
  <si>
    <t>Breaking</t>
  </si>
  <si>
    <t>tt7144666</t>
  </si>
  <si>
    <t>The Black Phone</t>
  </si>
  <si>
    <t>tt12908150</t>
  </si>
  <si>
    <t>The Life of Chuck</t>
  </si>
  <si>
    <t>tt13652142</t>
  </si>
  <si>
    <t>Magazine Dreams</t>
  </si>
  <si>
    <t>tt3234122</t>
  </si>
  <si>
    <t>Widow Clicquot</t>
  </si>
  <si>
    <t>tt25052668</t>
  </si>
  <si>
    <t>Christmas Eve in Miller's Point</t>
  </si>
  <si>
    <t>tt29439114</t>
  </si>
  <si>
    <t>The Room Next Door</t>
  </si>
  <si>
    <t>tt4058618</t>
  </si>
  <si>
    <t>The Thicket</t>
  </si>
  <si>
    <t>tt18412256</t>
  </si>
  <si>
    <t>Alien: Romulus</t>
  </si>
  <si>
    <t>tt11389872</t>
  </si>
  <si>
    <t>Kingdom of the Planet of the Apes</t>
  </si>
  <si>
    <t>tt9466114</t>
  </si>
  <si>
    <t>The Idea of You</t>
  </si>
  <si>
    <t>tt20234774</t>
  </si>
  <si>
    <t>Wicked Little Letters</t>
  </si>
  <si>
    <t>tt12263384</t>
  </si>
  <si>
    <t>Extraction II</t>
  </si>
  <si>
    <t>tt15474916</t>
  </si>
  <si>
    <t>Smile</t>
  </si>
  <si>
    <t>tt13249596</t>
  </si>
  <si>
    <t>Father of the Bride</t>
  </si>
  <si>
    <t>tt14549466</t>
  </si>
  <si>
    <t>Crimes of the Future</t>
  </si>
  <si>
    <t>tt22741760</t>
  </si>
  <si>
    <t>Your Monster</t>
  </si>
  <si>
    <t>tt27131358</t>
  </si>
  <si>
    <t>We Live in Time</t>
  </si>
  <si>
    <t>tt12349832</t>
  </si>
  <si>
    <t>Cuckoo</t>
  </si>
  <si>
    <t>tt30321146</t>
  </si>
  <si>
    <t>In a Violent Nature</t>
  </si>
  <si>
    <t>tt21454134</t>
  </si>
  <si>
    <t>The Bikeriders</t>
  </si>
  <si>
    <t>tt7575046</t>
  </si>
  <si>
    <t>Riddle of Fire</t>
  </si>
  <si>
    <t>tt11242654</t>
  </si>
  <si>
    <t>They Shot the Piano Player</t>
  </si>
  <si>
    <t>tt5884230</t>
  </si>
  <si>
    <t>Brad's Status</t>
  </si>
  <si>
    <t>tt15325794</t>
  </si>
  <si>
    <t>Fall</t>
  </si>
  <si>
    <t>tt12299608</t>
  </si>
  <si>
    <t>Mickey 17</t>
  </si>
  <si>
    <t>tt32558992</t>
  </si>
  <si>
    <t>Heart Eyes</t>
  </si>
  <si>
    <t>tt19861162</t>
  </si>
  <si>
    <t>The Return</t>
  </si>
  <si>
    <t>tt27911000</t>
  </si>
  <si>
    <t>Terrifier 3</t>
  </si>
  <si>
    <t>tt6263850</t>
  </si>
  <si>
    <t>Deadpool &amp; Wolverine</t>
  </si>
  <si>
    <t>tt19984386</t>
  </si>
  <si>
    <t>American Star</t>
  </si>
  <si>
    <t>tt9362930</t>
  </si>
  <si>
    <t>Blue Beetle</t>
  </si>
  <si>
    <t>tt5884796</t>
  </si>
  <si>
    <t>Plane</t>
  </si>
  <si>
    <t>tt22042742</t>
  </si>
  <si>
    <t>Christmas Bloody Christmas</t>
  </si>
  <si>
    <t>tt1280015</t>
  </si>
  <si>
    <t>Smash His Camera</t>
  </si>
  <si>
    <t>tt13320622</t>
  </si>
  <si>
    <t>The Lost City</t>
  </si>
  <si>
    <t>tt24176060</t>
  </si>
  <si>
    <t>Queer</t>
  </si>
  <si>
    <t>tt27714946</t>
  </si>
  <si>
    <t>The Monkey</t>
  </si>
  <si>
    <t>tt27657135</t>
  </si>
  <si>
    <t>Saturday Night</t>
  </si>
  <si>
    <t>tt15552142</t>
  </si>
  <si>
    <t>Caddo Lake</t>
  </si>
  <si>
    <t>tt12735488</t>
  </si>
  <si>
    <t>Kalki 2898 AD</t>
  </si>
  <si>
    <t>tt20358284</t>
  </si>
  <si>
    <t>The Lesson</t>
  </si>
  <si>
    <t>tt9201772</t>
  </si>
  <si>
    <t>Mending the Line</t>
  </si>
  <si>
    <t>tt12229370</t>
  </si>
  <si>
    <t>Mothering Sunday</t>
  </si>
  <si>
    <t>tt13421498</t>
  </si>
  <si>
    <t>The Lost King</t>
  </si>
  <si>
    <t>tt17663992</t>
  </si>
  <si>
    <t>Scream VI</t>
  </si>
  <si>
    <t>tt11423420</t>
  </si>
  <si>
    <t>Please Baby Please</t>
  </si>
  <si>
    <t>tt10343028</t>
  </si>
  <si>
    <t>Armageddon Time</t>
  </si>
  <si>
    <t>tt3704428</t>
  </si>
  <si>
    <t>Elvis</t>
  </si>
  <si>
    <t>tt11252248</t>
  </si>
  <si>
    <t>Dog</t>
  </si>
  <si>
    <t>tt30057084</t>
  </si>
  <si>
    <t>Babygirl</t>
  </si>
  <si>
    <t>tt22893404</t>
  </si>
  <si>
    <t>Maria</t>
  </si>
  <si>
    <t>tt10449276</t>
  </si>
  <si>
    <t>Get Away</t>
  </si>
  <si>
    <t>tt30841606</t>
  </si>
  <si>
    <t>Rumours</t>
  </si>
  <si>
    <t>tt30317033</t>
  </si>
  <si>
    <t>Sebastian</t>
  </si>
  <si>
    <t>tt11068094</t>
  </si>
  <si>
    <t>White Bird</t>
  </si>
  <si>
    <t>tt21958136</t>
  </si>
  <si>
    <t>The Wasp</t>
  </si>
  <si>
    <t>tt14682800</t>
  </si>
  <si>
    <t>Tuesday</t>
  </si>
  <si>
    <t>tt30476486</t>
  </si>
  <si>
    <t>Haikyu!! The Dumpster Battle</t>
  </si>
  <si>
    <t>tt21279806</t>
  </si>
  <si>
    <t>Scoop</t>
  </si>
  <si>
    <t>tt21830902</t>
  </si>
  <si>
    <t>Upgraded</t>
  </si>
  <si>
    <t>tt22687790</t>
  </si>
  <si>
    <t>A Haunting in Venice</t>
  </si>
  <si>
    <t>tt2183014</t>
  </si>
  <si>
    <t>Love at First Sight</t>
  </si>
  <si>
    <t>tt17024450</t>
  </si>
  <si>
    <t>The Equalizer 3</t>
  </si>
  <si>
    <t>tt14230388</t>
  </si>
  <si>
    <t>Asteroid City</t>
  </si>
  <si>
    <t>tt12758486</t>
  </si>
  <si>
    <t>Chevalier</t>
  </si>
  <si>
    <t>tt1630029</t>
  </si>
  <si>
    <t>Avatar: The Way of Water</t>
  </si>
  <si>
    <t>tt9783730</t>
  </si>
  <si>
    <t>On the Come Up</t>
  </si>
  <si>
    <t>tt10243676</t>
  </si>
  <si>
    <t>After Blue</t>
  </si>
  <si>
    <t>tt20212786</t>
  </si>
  <si>
    <t>The Shrouds</t>
  </si>
  <si>
    <t>tt31519456</t>
  </si>
  <si>
    <t>La Dolce Villa</t>
  </si>
  <si>
    <t>tt31186932</t>
  </si>
  <si>
    <t>The Gutter</t>
  </si>
  <si>
    <t>tt2049403</t>
  </si>
  <si>
    <t>Beetlejuice Beetlejuice</t>
  </si>
  <si>
    <t>tt14858658</t>
  </si>
  <si>
    <t>Blink Twice</t>
  </si>
  <si>
    <t>tt10740926</t>
  </si>
  <si>
    <t>Rob Peace</t>
  </si>
  <si>
    <t>tt12584954</t>
  </si>
  <si>
    <t>Twisters</t>
  </si>
  <si>
    <t>tt7461686</t>
  </si>
  <si>
    <t>Daddio</t>
  </si>
  <si>
    <t>tt22866050</t>
  </si>
  <si>
    <t>Dandelion</t>
  </si>
  <si>
    <t>tt2950418</t>
  </si>
  <si>
    <t>Greater</t>
  </si>
  <si>
    <t>tt9100018</t>
  </si>
  <si>
    <t>Cobweb</t>
  </si>
  <si>
    <t>tt10172266</t>
  </si>
  <si>
    <t>Red, White &amp; Royal Blue</t>
  </si>
  <si>
    <t>tt13259610</t>
  </si>
  <si>
    <t>The Outwaters</t>
  </si>
  <si>
    <t>tt21651560</t>
  </si>
  <si>
    <t>V/H/S/99</t>
  </si>
  <si>
    <t>tt13640696</t>
  </si>
  <si>
    <t>See How They Run</t>
  </si>
  <si>
    <t>tt14935966</t>
  </si>
  <si>
    <t>I Love My Dad</t>
  </si>
  <si>
    <t>tt10381102</t>
  </si>
  <si>
    <t>Brave the Dark</t>
  </si>
  <si>
    <t>tt12873300</t>
  </si>
  <si>
    <t>Sight</t>
  </si>
  <si>
    <t>tt12003946</t>
  </si>
  <si>
    <t>Violent Night</t>
  </si>
  <si>
    <t>tt4273800</t>
  </si>
  <si>
    <t>The Good Nurse</t>
  </si>
  <si>
    <t>tt8760670</t>
  </si>
  <si>
    <t>Mona Lisa and the Blood Moon</t>
  </si>
  <si>
    <t>tt9853500</t>
  </si>
  <si>
    <t>Bandit</t>
  </si>
  <si>
    <t>tt10298810</t>
  </si>
  <si>
    <t>Lightyear</t>
  </si>
  <si>
    <t>tt28070202</t>
  </si>
  <si>
    <t>Queen of the Ring</t>
  </si>
  <si>
    <t>tt26745321</t>
  </si>
  <si>
    <t>Armand</t>
  </si>
  <si>
    <t>tt22048412</t>
  </si>
  <si>
    <t>MaXXXine</t>
  </si>
  <si>
    <t>tt26084002</t>
  </si>
  <si>
    <t>Self Reliance</t>
  </si>
  <si>
    <t>tt3758542</t>
  </si>
  <si>
    <t>Ferrari</t>
  </si>
  <si>
    <t>tt6495056</t>
  </si>
  <si>
    <t>Migration</t>
  </si>
  <si>
    <t>tt12747748</t>
  </si>
  <si>
    <t>Leave the World Behind</t>
  </si>
  <si>
    <t>tt15488088</t>
  </si>
  <si>
    <t>Moving On</t>
  </si>
  <si>
    <t>tt15789038</t>
  </si>
  <si>
    <t>Elemental</t>
  </si>
  <si>
    <t>tt21307994</t>
  </si>
  <si>
    <t>Skinamarink</t>
  </si>
  <si>
    <t>tt10473036</t>
  </si>
  <si>
    <t>The Amazing Maurice</t>
  </si>
  <si>
    <t>tt9419884</t>
  </si>
  <si>
    <t>Doctor Strange in the Multiverse of Madness</t>
  </si>
  <si>
    <t>tt6874690</t>
  </si>
  <si>
    <t>The Rule of Jenny Pen</t>
  </si>
  <si>
    <t>tt19864832</t>
  </si>
  <si>
    <t>La Cocina</t>
  </si>
  <si>
    <t>tt16280912</t>
  </si>
  <si>
    <t>Humane</t>
  </si>
  <si>
    <t>tt23137390</t>
  </si>
  <si>
    <t>Immaculate</t>
  </si>
  <si>
    <t>tt17351924</t>
  </si>
  <si>
    <t>Saltburn</t>
  </si>
  <si>
    <t>tt7645334</t>
  </si>
  <si>
    <t>Landscape with Invisible Hand</t>
  </si>
  <si>
    <t>tt1462759</t>
  </si>
  <si>
    <t>Butcher's Crossing</t>
  </si>
  <si>
    <t>tt15837338</t>
  </si>
  <si>
    <t>PAW Patrol: The Mighty Movie</t>
  </si>
  <si>
    <t>tt16233952</t>
  </si>
  <si>
    <t>Something from Tiffany's</t>
  </si>
  <si>
    <t>tt10298840</t>
  </si>
  <si>
    <t>Strange World</t>
  </si>
  <si>
    <t>tt14668630</t>
  </si>
  <si>
    <t>Lyle, Lyle, Crocodile</t>
  </si>
  <si>
    <t>tt15353964</t>
  </si>
  <si>
    <t>Significant Other</t>
  </si>
  <si>
    <t>tt7322224</t>
  </si>
  <si>
    <t>Triangle of Sadness</t>
  </si>
  <si>
    <t>tt12655436</t>
  </si>
  <si>
    <t>Honk for Jesus. Save Your Soul.</t>
  </si>
  <si>
    <t>tt19465630</t>
  </si>
  <si>
    <t>Sniper. The White Raven</t>
  </si>
  <si>
    <t>tt8912936</t>
  </si>
  <si>
    <t>DC League of Super-Pets</t>
  </si>
  <si>
    <t>tt9005184</t>
  </si>
  <si>
    <t>Dual</t>
  </si>
  <si>
    <t>tt17489650</t>
  </si>
  <si>
    <t>Ash</t>
  </si>
  <si>
    <t>tt32560777</t>
  </si>
  <si>
    <t>Plankton: The Movie</t>
  </si>
  <si>
    <t>tt22173666</t>
  </si>
  <si>
    <t>Azrael</t>
  </si>
  <si>
    <t>tt22408160</t>
  </si>
  <si>
    <t>Kinds of Kindness</t>
  </si>
  <si>
    <t>tt30180830</t>
  </si>
  <si>
    <t>Sasquatch Sunset</t>
  </si>
  <si>
    <t>tt21692408</t>
  </si>
  <si>
    <t>Kung Fu Panda 4</t>
  </si>
  <si>
    <t>tt15314262</t>
  </si>
  <si>
    <t>The Beekeeper</t>
  </si>
  <si>
    <t>tt1462764</t>
  </si>
  <si>
    <t>Indiana Jones and the Dial of Destiny</t>
  </si>
  <si>
    <t>tt15671028</t>
  </si>
  <si>
    <t>No Hard Feelings</t>
  </si>
  <si>
    <t>tt15342244</t>
  </si>
  <si>
    <t>Master Gardener</t>
  </si>
  <si>
    <t>tt13430858</t>
  </si>
  <si>
    <t>What's Love Got to Do with It?</t>
  </si>
  <si>
    <t>tt15333984</t>
  </si>
  <si>
    <t>Somebody I Used to Know</t>
  </si>
  <si>
    <t>tt5806814</t>
  </si>
  <si>
    <t>Charlotte</t>
  </si>
  <si>
    <t>tt3104956</t>
  </si>
  <si>
    <t>The Good House</t>
  </si>
  <si>
    <t>tt9198364</t>
  </si>
  <si>
    <t>Three Thousand Years of Longing</t>
  </si>
  <si>
    <t>tt9907782</t>
  </si>
  <si>
    <t>The Cursed</t>
  </si>
  <si>
    <t>tt9218128</t>
  </si>
  <si>
    <t>Gladiator II</t>
  </si>
  <si>
    <t>tt28658276</t>
  </si>
  <si>
    <t>The 4:30 Movie</t>
  </si>
  <si>
    <t>tt20315818</t>
  </si>
  <si>
    <t>Ezra</t>
  </si>
  <si>
    <t>tt20112746</t>
  </si>
  <si>
    <t>Sting</t>
  </si>
  <si>
    <t>tt10720352</t>
  </si>
  <si>
    <t>Arthur the King</t>
  </si>
  <si>
    <t>tt7405458</t>
  </si>
  <si>
    <t>A Man Called Otto</t>
  </si>
  <si>
    <t>tt10999120</t>
  </si>
  <si>
    <t>Spirited</t>
  </si>
  <si>
    <t>tt15083184</t>
  </si>
  <si>
    <t>I Came By</t>
  </si>
  <si>
    <t>tt11052678</t>
  </si>
  <si>
    <t>The Silent Twins</t>
  </si>
  <si>
    <t>tt5315210</t>
  </si>
  <si>
    <t>Lou</t>
  </si>
  <si>
    <t>tt11851548</t>
  </si>
  <si>
    <t>Orphan: First Kill</t>
  </si>
  <si>
    <t>tt10028196</t>
  </si>
  <si>
    <t>Laal Singh Chaddha</t>
  </si>
  <si>
    <t>tt5113044</t>
  </si>
  <si>
    <t>Minions: The Rise of Gru</t>
  </si>
  <si>
    <t>tt13841850</t>
  </si>
  <si>
    <t>Men</t>
  </si>
  <si>
    <t>tt12412888</t>
  </si>
  <si>
    <t>Sonic the Hedgehog 2</t>
  </si>
  <si>
    <t>tt5112584</t>
  </si>
  <si>
    <t>Lee</t>
  </si>
  <si>
    <t>tt28223926</t>
  </si>
  <si>
    <t>Skincare</t>
  </si>
  <si>
    <t>tt5177120</t>
  </si>
  <si>
    <t>The Ministry of Ungentlemanly Warfare</t>
  </si>
  <si>
    <t>tt11762114</t>
  </si>
  <si>
    <t>Mean Girls</t>
  </si>
  <si>
    <t>tt7130916</t>
  </si>
  <si>
    <t>Dicks: The Musical</t>
  </si>
  <si>
    <t>tt12712604</t>
  </si>
  <si>
    <t>The Miracle Club</t>
  </si>
  <si>
    <t>tt12573454</t>
  </si>
  <si>
    <t>Sharper</t>
  </si>
  <si>
    <t>tt6931658</t>
  </si>
  <si>
    <t>Hunt</t>
  </si>
  <si>
    <t>tt3696180</t>
  </si>
  <si>
    <t>The Forgiven</t>
  </si>
  <si>
    <t>tt13223398</t>
  </si>
  <si>
    <t>Beast</t>
  </si>
  <si>
    <t>tt4998632</t>
  </si>
  <si>
    <t>Ambulance</t>
  </si>
  <si>
    <t>tt2463208</t>
  </si>
  <si>
    <t>The Adam Project</t>
  </si>
  <si>
    <t>tt28055434</t>
  </si>
  <si>
    <t>Close to You</t>
  </si>
  <si>
    <t>tt11858890</t>
  </si>
  <si>
    <t>The Creator</t>
  </si>
  <si>
    <t>tt5971474</t>
  </si>
  <si>
    <t>The Little Mermaid</t>
  </si>
  <si>
    <t>tt13521006</t>
  </si>
  <si>
    <t>Beau Is Afraid</t>
  </si>
  <si>
    <t>tt2560078</t>
  </si>
  <si>
    <t>Boston Strangler</t>
  </si>
  <si>
    <t>tt12447796</t>
  </si>
  <si>
    <t>Unwelcome</t>
  </si>
  <si>
    <t>tt3155298</t>
  </si>
  <si>
    <t>Luther: The Fallen Sun</t>
  </si>
  <si>
    <t>tt15679400</t>
  </si>
  <si>
    <t>Knock at the Cabin</t>
  </si>
  <si>
    <t>tt8323668</t>
  </si>
  <si>
    <t>Jerry and Marge Go Large</t>
  </si>
  <si>
    <t>tt26237514</t>
  </si>
  <si>
    <t>Bonhoeffer: Pastor. Spy. Assassin.</t>
  </si>
  <si>
    <t>tt14257582</t>
  </si>
  <si>
    <t>Wolfs</t>
  </si>
  <si>
    <t>tt1896747</t>
  </si>
  <si>
    <t>Fly Me to the Moon</t>
  </si>
  <si>
    <t>tt20115766</t>
  </si>
  <si>
    <t>Knox Goes Away</t>
  </si>
  <si>
    <t>tt19864802</t>
  </si>
  <si>
    <t>Land of Bad</t>
  </si>
  <si>
    <t>tt20256448</t>
  </si>
  <si>
    <t>Force of Nature: The Dry 2</t>
  </si>
  <si>
    <t>tt8667828</t>
  </si>
  <si>
    <t>Outlaw Johnny Black</t>
  </si>
  <si>
    <t>tt10925852</t>
  </si>
  <si>
    <t>A Mouthful of Air</t>
  </si>
  <si>
    <t>tt4919268</t>
  </si>
  <si>
    <t>Bad Boys: Ride or Die</t>
  </si>
  <si>
    <t>tt22866358</t>
  </si>
  <si>
    <t>The Book of Clarence</t>
  </si>
  <si>
    <t>tt27155038</t>
  </si>
  <si>
    <t>Ruby Gillman: Teenage Kraken</t>
  </si>
  <si>
    <t>tt14209916</t>
  </si>
  <si>
    <t>Cocaine Bear</t>
  </si>
  <si>
    <t>tt11909878</t>
  </si>
  <si>
    <t>Hocus Pocus 2</t>
  </si>
  <si>
    <t>tt6020800</t>
  </si>
  <si>
    <t>Gold</t>
  </si>
  <si>
    <t>tt4853290</t>
  </si>
  <si>
    <t>Out Come the Wolves</t>
  </si>
  <si>
    <t>tt13964390</t>
  </si>
  <si>
    <t>Under Paris</t>
  </si>
  <si>
    <t>tt19356262</t>
  </si>
  <si>
    <t>Drive-Away Dolls</t>
  </si>
  <si>
    <t>tt14362112</t>
  </si>
  <si>
    <t>Trolls Band Together</t>
  </si>
  <si>
    <t>tt10545296</t>
  </si>
  <si>
    <t>The Hunger Games: The Ballad of Songbirds &amp; Snakes</t>
  </si>
  <si>
    <t>tt15683734</t>
  </si>
  <si>
    <t>It Lives Inside</t>
  </si>
  <si>
    <t>tt6160448</t>
  </si>
  <si>
    <t>White Noise</t>
  </si>
  <si>
    <t>tt13833688</t>
  </si>
  <si>
    <t>The Whale</t>
  </si>
  <si>
    <t>tt26671996</t>
  </si>
  <si>
    <t>Locked</t>
  </si>
  <si>
    <t>tt3083016</t>
  </si>
  <si>
    <t>Beverly Hills Cop: Axel F</t>
  </si>
  <si>
    <t>tt10676048</t>
  </si>
  <si>
    <t>The Marvels</t>
  </si>
  <si>
    <t>tt0439572</t>
  </si>
  <si>
    <t>The Flash</t>
  </si>
  <si>
    <t>tt5635026</t>
  </si>
  <si>
    <t>Peter Pan &amp; Wendy</t>
  </si>
  <si>
    <t>tt10354106</t>
  </si>
  <si>
    <t>Stars at Noon</t>
  </si>
  <si>
    <t>tt11128440</t>
  </si>
  <si>
    <t>Clerks III</t>
  </si>
  <si>
    <t>tt10648342</t>
  </si>
  <si>
    <t>Thor: Love and Thunder</t>
  </si>
  <si>
    <t>tt3706352</t>
  </si>
  <si>
    <t>All the Old Knives</t>
  </si>
  <si>
    <t>tt13654226</t>
  </si>
  <si>
    <t>The Gorge</t>
  </si>
  <si>
    <t>tt8008948</t>
  </si>
  <si>
    <t>Den of Thieves: Pantera</t>
  </si>
  <si>
    <t>tt14636214</t>
  </si>
  <si>
    <t>Sweethearts</t>
  </si>
  <si>
    <t>tt12121582</t>
  </si>
  <si>
    <t>When You Finish Saving the World</t>
  </si>
  <si>
    <t>tt6875952</t>
  </si>
  <si>
    <t>Carmen</t>
  </si>
  <si>
    <t>tt14138650</t>
  </si>
  <si>
    <t>The Pale Blue Eye</t>
  </si>
  <si>
    <t>tt8656686</t>
  </si>
  <si>
    <t>Run Sweetheart Run</t>
  </si>
  <si>
    <t>tt14298328</t>
  </si>
  <si>
    <t>Look Both Ways</t>
  </si>
  <si>
    <t>tt7550014</t>
  </si>
  <si>
    <t>No Exit</t>
  </si>
  <si>
    <t>tt7657566</t>
  </si>
  <si>
    <t>Death on the Nile</t>
  </si>
  <si>
    <t>tt13655120</t>
  </si>
  <si>
    <t>I.S.S.</t>
  </si>
  <si>
    <t>tt10651230</t>
  </si>
  <si>
    <t>The Peasants</t>
  </si>
  <si>
    <t>tt10223460</t>
  </si>
  <si>
    <t>Marry Me</t>
  </si>
  <si>
    <t>tt12810074</t>
  </si>
  <si>
    <t>Nightbitch</t>
  </si>
  <si>
    <t>tt13622970</t>
  </si>
  <si>
    <t>Moana 2</t>
  </si>
  <si>
    <t>tt20201748</t>
  </si>
  <si>
    <t>Greedy People</t>
  </si>
  <si>
    <t>tt15799866</t>
  </si>
  <si>
    <t>Silent Night</t>
  </si>
  <si>
    <t>tt21991654</t>
  </si>
  <si>
    <t>Sympathy for the Devil</t>
  </si>
  <si>
    <t>tt3427252</t>
  </si>
  <si>
    <t>The Boogeyman</t>
  </si>
  <si>
    <t>tt12024308</t>
  </si>
  <si>
    <t>Wildflower</t>
  </si>
  <si>
    <t>tt13650814</t>
  </si>
  <si>
    <t>Borderline</t>
  </si>
  <si>
    <t>tt3954936</t>
  </si>
  <si>
    <t>Monster Summer</t>
  </si>
  <si>
    <t>tt26442871</t>
  </si>
  <si>
    <t>Wildcat</t>
  </si>
  <si>
    <t>tt17009348</t>
  </si>
  <si>
    <t>DogMan</t>
  </si>
  <si>
    <t>tt11908172</t>
  </si>
  <si>
    <t>The Kill Room</t>
  </si>
  <si>
    <t>tt18081000</t>
  </si>
  <si>
    <t>The End of Sex</t>
  </si>
  <si>
    <t>tt6718170</t>
  </si>
  <si>
    <t>The Super Mario Bros. Movie</t>
  </si>
  <si>
    <t>tt15339570</t>
  </si>
  <si>
    <t>Champions</t>
  </si>
  <si>
    <t>tt18079362</t>
  </si>
  <si>
    <t>80 for Brady</t>
  </si>
  <si>
    <t>tt15033192</t>
  </si>
  <si>
    <t>Windfall</t>
  </si>
  <si>
    <t>tt15495150</t>
  </si>
  <si>
    <t>The Witcher: Sirens of the Deep</t>
  </si>
  <si>
    <t>tt15000156</t>
  </si>
  <si>
    <t>Firebrand</t>
  </si>
  <si>
    <t>tt13923084</t>
  </si>
  <si>
    <t>Boy Kills World</t>
  </si>
  <si>
    <t>tt13287846</t>
  </si>
  <si>
    <t>Napoleon</t>
  </si>
  <si>
    <t>tt7599146</t>
  </si>
  <si>
    <t>Sound of Freedom</t>
  </si>
  <si>
    <t>tt11358390</t>
  </si>
  <si>
    <t>Renfield</t>
  </si>
  <si>
    <t>tt14415204</t>
  </si>
  <si>
    <t>Never Let Go</t>
  </si>
  <si>
    <t>tt1856080</t>
  </si>
  <si>
    <t>The Boys in the Boat</t>
  </si>
  <si>
    <t>tt10362566</t>
  </si>
  <si>
    <t>The Exorcism of God</t>
  </si>
  <si>
    <t>tt14153080</t>
  </si>
  <si>
    <t>A Good Person</t>
  </si>
  <si>
    <t>tt10640346</t>
  </si>
  <si>
    <t>Babylon</t>
  </si>
  <si>
    <t>tt14592998</t>
  </si>
  <si>
    <t>The Railway Children Return</t>
  </si>
  <si>
    <t>tt13314558</t>
  </si>
  <si>
    <t>Day Shift</t>
  </si>
  <si>
    <t>tt13873302</t>
  </si>
  <si>
    <t>Against the Ice</t>
  </si>
  <si>
    <t>tt35628886</t>
  </si>
  <si>
    <t>Chaos: The Manson Murders</t>
  </si>
  <si>
    <t>tt15551346</t>
  </si>
  <si>
    <t>The End</t>
  </si>
  <si>
    <t>tt24458622</t>
  </si>
  <si>
    <t>The Six Triple Eight</t>
  </si>
  <si>
    <t>tt13186482</t>
  </si>
  <si>
    <t>Mufasa: The Lion King</t>
  </si>
  <si>
    <t>tt8337290</t>
  </si>
  <si>
    <t>Absolution</t>
  </si>
  <si>
    <t>tt26753003</t>
  </si>
  <si>
    <t>Trap</t>
  </si>
  <si>
    <t>tt13452446</t>
  </si>
  <si>
    <t>Damsel</t>
  </si>
  <si>
    <t>tt25289836</t>
  </si>
  <si>
    <t>Good Burger 2</t>
  </si>
  <si>
    <t>tt5433140</t>
  </si>
  <si>
    <t>Fast X</t>
  </si>
  <si>
    <t>tt14109724</t>
  </si>
  <si>
    <t>Ticket to Paradise</t>
  </si>
  <si>
    <t>tt4428398</t>
  </si>
  <si>
    <t>Paws of Fury: The Legend of Hank</t>
  </si>
  <si>
    <t>tt9735462</t>
  </si>
  <si>
    <t>Aline</t>
  </si>
  <si>
    <t>tt14060232</t>
  </si>
  <si>
    <t>Infinite Storm</t>
  </si>
  <si>
    <t>tt15374070</t>
  </si>
  <si>
    <t>Studio 666</t>
  </si>
  <si>
    <t>tt27775403</t>
  </si>
  <si>
    <t>Riff Raff</t>
  </si>
  <si>
    <t>tt23558280</t>
  </si>
  <si>
    <t>Elevation</t>
  </si>
  <si>
    <t>tt15685360</t>
  </si>
  <si>
    <t>You Gotta Believe</t>
  </si>
  <si>
    <t>tt13397574</t>
  </si>
  <si>
    <t>Mothers' Instinct</t>
  </si>
  <si>
    <t>tt10655524</t>
  </si>
  <si>
    <t>It Ends with Us</t>
  </si>
  <si>
    <t>tt7510222</t>
  </si>
  <si>
    <t>Despicable Me 4</t>
  </si>
  <si>
    <t>tt27619382</t>
  </si>
  <si>
    <t>It's a Wonderful Knife</t>
  </si>
  <si>
    <t>tt14813212</t>
  </si>
  <si>
    <t>The Munsters</t>
  </si>
  <si>
    <t>tt22478818</t>
  </si>
  <si>
    <t>William Tell</t>
  </si>
  <si>
    <t>tt11433906</t>
  </si>
  <si>
    <t>Winner</t>
  </si>
  <si>
    <t>tt14539740</t>
  </si>
  <si>
    <t>Godzilla x Kong: The New Empire</t>
  </si>
  <si>
    <t>tt22778346</t>
  </si>
  <si>
    <t>The Seeding</t>
  </si>
  <si>
    <t>tt14454876</t>
  </si>
  <si>
    <t>Golda</t>
  </si>
  <si>
    <t>tt10098448</t>
  </si>
  <si>
    <t>Jesus Revolution</t>
  </si>
  <si>
    <t>tt7947604</t>
  </si>
  <si>
    <t>In from the Side</t>
  </si>
  <si>
    <t>tt26047818</t>
  </si>
  <si>
    <t>Anyone But You</t>
  </si>
  <si>
    <t>tt10275534</t>
  </si>
  <si>
    <t>To Catch a Killer</t>
  </si>
  <si>
    <t>tt15467380</t>
  </si>
  <si>
    <t>That Time I Got Reincarnated as a Slime the Movie: Scarlet Bond</t>
  </si>
  <si>
    <t>tt28443655</t>
  </si>
  <si>
    <t>Death of a Unicorn</t>
  </si>
  <si>
    <t>tt21188080</t>
  </si>
  <si>
    <t>Lisa Frankenstein</t>
  </si>
  <si>
    <t>tt12593682</t>
  </si>
  <si>
    <t>Bullet Train</t>
  </si>
  <si>
    <t>tt27812086</t>
  </si>
  <si>
    <t>Cleaner</t>
  </si>
  <si>
    <t>tt13457790</t>
  </si>
  <si>
    <t>The Critic</t>
  </si>
  <si>
    <t>tt17505010</t>
  </si>
  <si>
    <t>Horizon: An American Saga - Chapter 1</t>
  </si>
  <si>
    <t>tt11152168</t>
  </si>
  <si>
    <t>IF</t>
  </si>
  <si>
    <t>tt19890316</t>
  </si>
  <si>
    <t>What Happens Later</t>
  </si>
  <si>
    <t>tt10160976</t>
  </si>
  <si>
    <t>The Nun II</t>
  </si>
  <si>
    <t>tt5090568</t>
  </si>
  <si>
    <t>Transformers: Rise of the Beasts</t>
  </si>
  <si>
    <t>tt13375076</t>
  </si>
  <si>
    <t>The Pope's Exorcist</t>
  </si>
  <si>
    <t>tt7985704</t>
  </si>
  <si>
    <t>Operation Fortune: Ruse de Guerre</t>
  </si>
  <si>
    <t>tt9201172</t>
  </si>
  <si>
    <t>Accidental Texan</t>
  </si>
  <si>
    <t>tt11097384</t>
  </si>
  <si>
    <t>Spaceman</t>
  </si>
  <si>
    <t>tt14158346</t>
  </si>
  <si>
    <t>Sharp Stick</t>
  </si>
  <si>
    <t>tt15215512</t>
  </si>
  <si>
    <t>A Perfect Pairing</t>
  </si>
  <si>
    <t>tt22042346</t>
  </si>
  <si>
    <t>tt14824600</t>
  </si>
  <si>
    <t>The Lord of the Rings: The War of the Rohirrim</t>
  </si>
  <si>
    <t>tt15041836</t>
  </si>
  <si>
    <t>Werewolves</t>
  </si>
  <si>
    <t>tt13884444</t>
  </si>
  <si>
    <t>American Dreamer</t>
  </si>
  <si>
    <t>tt10151854</t>
  </si>
  <si>
    <t>Shazam! Fury of the Gods</t>
  </si>
  <si>
    <t>tt21227864</t>
  </si>
  <si>
    <t>You're Cordially Invited</t>
  </si>
  <si>
    <t>tt4216984</t>
  </si>
  <si>
    <t>Wolf Man</t>
  </si>
  <si>
    <t>tt7215232</t>
  </si>
  <si>
    <t>Spellbound</t>
  </si>
  <si>
    <t>tt11304740</t>
  </si>
  <si>
    <t>Wish</t>
  </si>
  <si>
    <t>tt6689014</t>
  </si>
  <si>
    <t>She Came to Me</t>
  </si>
  <si>
    <t>tt16280138</t>
  </si>
  <si>
    <t>Magic Mike's Last Dance</t>
  </si>
  <si>
    <t>tt7214954</t>
  </si>
  <si>
    <t>Luck</t>
  </si>
  <si>
    <t>tt14041896</t>
  </si>
  <si>
    <t>The Parenting</t>
  </si>
  <si>
    <t>tt23853982</t>
  </si>
  <si>
    <t>Parthenope</t>
  </si>
  <si>
    <t>tt20424130</t>
  </si>
  <si>
    <t>Mob Land</t>
  </si>
  <si>
    <t>tt14227048</t>
  </si>
  <si>
    <t>Family Switch</t>
  </si>
  <si>
    <t>tt21191906</t>
  </si>
  <si>
    <t>After Death</t>
  </si>
  <si>
    <t>tt14647404</t>
  </si>
  <si>
    <t>Cat Person</t>
  </si>
  <si>
    <t>tt12908110</t>
  </si>
  <si>
    <t>Mr. Harrigan's Phone</t>
  </si>
  <si>
    <t>tt6277462</t>
  </si>
  <si>
    <t>Brahmastra Part One: Shiva</t>
  </si>
  <si>
    <t>tt14596320</t>
  </si>
  <si>
    <t>Spin Me Round</t>
  </si>
  <si>
    <t>tt15174116</t>
  </si>
  <si>
    <t>Dashcam</t>
  </si>
  <si>
    <t>tt14174940</t>
  </si>
  <si>
    <t>Interceptor</t>
  </si>
  <si>
    <t>tt14513804</t>
  </si>
  <si>
    <t>Captain America: Brave New World</t>
  </si>
  <si>
    <t>tt21375602</t>
  </si>
  <si>
    <t>Love Me</t>
  </si>
  <si>
    <t>tt10128846</t>
  </si>
  <si>
    <t>Megalopolis</t>
  </si>
  <si>
    <t>tt0327785</t>
  </si>
  <si>
    <t>The Killer's Game</t>
  </si>
  <si>
    <t>tt9663896</t>
  </si>
  <si>
    <t>Asphalt City</t>
  </si>
  <si>
    <t>tt10767052</t>
  </si>
  <si>
    <t>Next Goal Wins</t>
  </si>
  <si>
    <t>tt20768712</t>
  </si>
  <si>
    <t>Book Club: The Next Chapter</t>
  </si>
  <si>
    <t>tt15255288</t>
  </si>
  <si>
    <t>Murder Mystery 2</t>
  </si>
  <si>
    <t>tt10954600</t>
  </si>
  <si>
    <t>Ant-Man and the Wasp: Quantumania</t>
  </si>
  <si>
    <t>tt1649418</t>
  </si>
  <si>
    <t>The Gray Man</t>
  </si>
  <si>
    <t>tt4123432</t>
  </si>
  <si>
    <t>Fantastic Beasts: The Secrets of Dumbledore</t>
  </si>
  <si>
    <t>tt29137778</t>
  </si>
  <si>
    <t>Homestead</t>
  </si>
  <si>
    <t>tt14371860</t>
  </si>
  <si>
    <t>Apartment 7A</t>
  </si>
  <si>
    <t>tt1660648</t>
  </si>
  <si>
    <t>Ricky Stanicky</t>
  </si>
  <si>
    <t>tt5761544</t>
  </si>
  <si>
    <t>Kandahar</t>
  </si>
  <si>
    <t>tt9686790</t>
  </si>
  <si>
    <t>Shotgun Wedding</t>
  </si>
  <si>
    <t>tt12530246</t>
  </si>
  <si>
    <t>Emancipation</t>
  </si>
  <si>
    <t>tt10698174</t>
  </si>
  <si>
    <t>Wolf</t>
  </si>
  <si>
    <t>tt13274016</t>
  </si>
  <si>
    <t>Reptile</t>
  </si>
  <si>
    <t>tt8051894</t>
  </si>
  <si>
    <t>The Hill</t>
  </si>
  <si>
    <t>tt14402146</t>
  </si>
  <si>
    <t>Empire of Light</t>
  </si>
  <si>
    <t>tt13139228</t>
  </si>
  <si>
    <t>My Policeman</t>
  </si>
  <si>
    <t>tt15426294</t>
  </si>
  <si>
    <t>Gone in the Night</t>
  </si>
  <si>
    <t>tt0362004</t>
  </si>
  <si>
    <t>Palindromes</t>
  </si>
  <si>
    <t>tt5181260</t>
  </si>
  <si>
    <t>The Unbreakable Boy</t>
  </si>
  <si>
    <t>tt32138452</t>
  </si>
  <si>
    <t>Ad Vitam</t>
  </si>
  <si>
    <t>tt19862722</t>
  </si>
  <si>
    <t>Find Me Falling</t>
  </si>
  <si>
    <t>tt20420628</t>
  </si>
  <si>
    <t>Freud's Last Session</t>
  </si>
  <si>
    <t>tt8542964</t>
  </si>
  <si>
    <t>Sleeping Dogs</t>
  </si>
  <si>
    <t>tt8521778</t>
  </si>
  <si>
    <t>Bob Marley: One Love</t>
  </si>
  <si>
    <t>tt15768848</t>
  </si>
  <si>
    <t>The Pod Generation</t>
  </si>
  <si>
    <t>tt6968614</t>
  </si>
  <si>
    <t>The Mother</t>
  </si>
  <si>
    <t>tt12193804</t>
  </si>
  <si>
    <t>Whitney Houston: I Wanna Dance with Somebody</t>
  </si>
  <si>
    <t>tt10268488</t>
  </si>
  <si>
    <t>The Greatest Beer Run Ever</t>
  </si>
  <si>
    <t>tt1655389</t>
  </si>
  <si>
    <t>Blonde</t>
  </si>
  <si>
    <t>NC-17</t>
  </si>
  <si>
    <t>tt6267600</t>
  </si>
  <si>
    <t>Butter</t>
  </si>
  <si>
    <t>tt27218960</t>
  </si>
  <si>
    <t>Y2K</t>
  </si>
  <si>
    <t>tt9860566</t>
  </si>
  <si>
    <t>Brothers</t>
  </si>
  <si>
    <t>tt21235248</t>
  </si>
  <si>
    <t>Ghostbusters: Frozen Empire</t>
  </si>
  <si>
    <t>tt21335356</t>
  </si>
  <si>
    <t>Please Don't Destroy: The Treasure of Foggy Mountain</t>
  </si>
  <si>
    <t>tt14993352</t>
  </si>
  <si>
    <t>Consecration</t>
  </si>
  <si>
    <t>tt4595186</t>
  </si>
  <si>
    <t>Luckiest Girl Alive</t>
  </si>
  <si>
    <t>tt14439896</t>
  </si>
  <si>
    <t>Father Stu</t>
  </si>
  <si>
    <t>tt14817272</t>
  </si>
  <si>
    <t>The Weekend Away</t>
  </si>
  <si>
    <t>tt9462944</t>
  </si>
  <si>
    <t>Treasure</t>
  </si>
  <si>
    <t>tt24169886</t>
  </si>
  <si>
    <t>The Instigators</t>
  </si>
  <si>
    <t>tt10353588</t>
  </si>
  <si>
    <t>The Absence of Eden</t>
  </si>
  <si>
    <t>tt21957774</t>
  </si>
  <si>
    <t>Irish Wish</t>
  </si>
  <si>
    <t>tt21815562</t>
  </si>
  <si>
    <t>The Alto Knights</t>
  </si>
  <si>
    <t>tt16366836</t>
  </si>
  <si>
    <t>Venom: The Last Dance</t>
  </si>
  <si>
    <t>tt12573480</t>
  </si>
  <si>
    <t>Hold Your Breath</t>
  </si>
  <si>
    <t>tt21905744</t>
  </si>
  <si>
    <t>The Front Room</t>
  </si>
  <si>
    <t>tt14539318</t>
  </si>
  <si>
    <t>The Beast Within</t>
  </si>
  <si>
    <t>tt21051906</t>
  </si>
  <si>
    <t>A Family Affair</t>
  </si>
  <si>
    <t>tt8002382</t>
  </si>
  <si>
    <t>The Marsh King's Daughter</t>
  </si>
  <si>
    <t>tt13320662</t>
  </si>
  <si>
    <t>Slumberland</t>
  </si>
  <si>
    <t>tt10665342</t>
  </si>
  <si>
    <t>Halloween Ends</t>
  </si>
  <si>
    <t>tt11952606</t>
  </si>
  <si>
    <t>Easter Sunday</t>
  </si>
  <si>
    <t>tt29929565</t>
  </si>
  <si>
    <t>Opus</t>
  </si>
  <si>
    <t>tt21955520</t>
  </si>
  <si>
    <t>Peter Pan's Neverland Nightmare</t>
  </si>
  <si>
    <t>tt32368345</t>
  </si>
  <si>
    <t>The Merry Gentlemen</t>
  </si>
  <si>
    <t>tt20194882</t>
  </si>
  <si>
    <t>Lonely Planet</t>
  </si>
  <si>
    <t>tt14914430</t>
  </si>
  <si>
    <t>Unfrosted</t>
  </si>
  <si>
    <t>tt13405778</t>
  </si>
  <si>
    <t>Insidious: The Red Door</t>
  </si>
  <si>
    <t>tt14826022</t>
  </si>
  <si>
    <t>You People</t>
  </si>
  <si>
    <t>tt6443346</t>
  </si>
  <si>
    <t>Black Adam</t>
  </si>
  <si>
    <t>tt8883486</t>
  </si>
  <si>
    <t>Medieval</t>
  </si>
  <si>
    <t>tt9783600</t>
  </si>
  <si>
    <t>Spiderhead</t>
  </si>
  <si>
    <t>tt26757462</t>
  </si>
  <si>
    <t>Hellboy: The Crooked Man</t>
  </si>
  <si>
    <t>tt12616480</t>
  </si>
  <si>
    <t>Slingshot</t>
  </si>
  <si>
    <t>tt13818368</t>
  </si>
  <si>
    <t>Fighter</t>
  </si>
  <si>
    <t>tt1695843</t>
  </si>
  <si>
    <t>Haunted Mansion</t>
  </si>
  <si>
    <t>tt2935622</t>
  </si>
  <si>
    <t>The School for Good and Evil</t>
  </si>
  <si>
    <t>tt10731256</t>
  </si>
  <si>
    <t>Don't Worry Darling</t>
  </si>
  <si>
    <t>tt5500218</t>
  </si>
  <si>
    <t>Samaritan</t>
  </si>
  <si>
    <t>tt20851874</t>
  </si>
  <si>
    <t>Fourth of July</t>
  </si>
  <si>
    <t>tt31022050</t>
  </si>
  <si>
    <t>Our Little Secret</t>
  </si>
  <si>
    <t>tt8373206</t>
  </si>
  <si>
    <t>About My Father</t>
  </si>
  <si>
    <t>tt8709338</t>
  </si>
  <si>
    <t>Hard Luck Love Song</t>
  </si>
  <si>
    <t>tt9000184</t>
  </si>
  <si>
    <t>Goodnight Mommy</t>
  </si>
  <si>
    <t>tt18272208</t>
  </si>
  <si>
    <t>Here</t>
  </si>
  <si>
    <t>tt5779228</t>
  </si>
  <si>
    <t>The Garfield Movie</t>
  </si>
  <si>
    <t>tt6705162</t>
  </si>
  <si>
    <t>Cheaper by the Dozen</t>
  </si>
  <si>
    <t>tt14813966</t>
  </si>
  <si>
    <t>Tyler Perry's A Madea Homecoming</t>
  </si>
  <si>
    <t>tt27729779</t>
  </si>
  <si>
    <t>The Platform 2</t>
  </si>
  <si>
    <t>tt12610390</t>
  </si>
  <si>
    <t>The Union</t>
  </si>
  <si>
    <t>tt21261712</t>
  </si>
  <si>
    <t>Back to Black</t>
  </si>
  <si>
    <t>tt15509244</t>
  </si>
  <si>
    <t>Happiness for Beginners</t>
  </si>
  <si>
    <t>tt12261776</t>
  </si>
  <si>
    <t>tt13829262</t>
  </si>
  <si>
    <t>Rubikon</t>
  </si>
  <si>
    <t>tt2180339</t>
  </si>
  <si>
    <t>Deep Water</t>
  </si>
  <si>
    <t>tt4196566</t>
  </si>
  <si>
    <t>The Deliverance</t>
  </si>
  <si>
    <t>tt18272884</t>
  </si>
  <si>
    <t>Padre Pio</t>
  </si>
  <si>
    <t>tt15208276</t>
  </si>
  <si>
    <t>Summering</t>
  </si>
  <si>
    <t>tt9411972</t>
  </si>
  <si>
    <t>Where the Crawdads Sing</t>
  </si>
  <si>
    <t>tt14893438</t>
  </si>
  <si>
    <t>Wish You Were Here</t>
  </si>
  <si>
    <t>tt26736843</t>
  </si>
  <si>
    <t>The Watchers</t>
  </si>
  <si>
    <t>tt15009428</t>
  </si>
  <si>
    <t>Argylle</t>
  </si>
  <si>
    <t>tt9663764</t>
  </si>
  <si>
    <t>Aquaman and the Lost Kingdom</t>
  </si>
  <si>
    <t>tt4589218</t>
  </si>
  <si>
    <t>Five Nights at Freddy's</t>
  </si>
  <si>
    <t>tt0308129</t>
  </si>
  <si>
    <t>Conspiracy of Silence</t>
  </si>
  <si>
    <t>tt14502344</t>
  </si>
  <si>
    <t>They/Them</t>
  </si>
  <si>
    <t>tt26940324</t>
  </si>
  <si>
    <t>Jackpot!</t>
  </si>
  <si>
    <t>tt8080204</t>
  </si>
  <si>
    <t>Hypnotic</t>
  </si>
  <si>
    <t>tt15486810</t>
  </si>
  <si>
    <t>Teen Wolf: The Movie</t>
  </si>
  <si>
    <t>tt16302202</t>
  </si>
  <si>
    <t>The Estate</t>
  </si>
  <si>
    <t>tt14857730</t>
  </si>
  <si>
    <t>The Enforcer</t>
  </si>
  <si>
    <t>tt12873562</t>
  </si>
  <si>
    <t>The Invitation</t>
  </si>
  <si>
    <t>tt4614584</t>
  </si>
  <si>
    <t>Purple Hearts</t>
  </si>
  <si>
    <t>tt13235822</t>
  </si>
  <si>
    <t>Umma</t>
  </si>
  <si>
    <t>tt11315808</t>
  </si>
  <si>
    <t>Joker: Folie Ã  Deux</t>
  </si>
  <si>
    <t>tt14371878</t>
  </si>
  <si>
    <t>Lift</t>
  </si>
  <si>
    <t>tt21103300</t>
  </si>
  <si>
    <t>My Big Fat Greek Wedding 3</t>
  </si>
  <si>
    <t>tt13603966</t>
  </si>
  <si>
    <t>Heart of Stone</t>
  </si>
  <si>
    <t>tt11040844</t>
  </si>
  <si>
    <t>The Machine</t>
  </si>
  <si>
    <t>tt14472156</t>
  </si>
  <si>
    <t>Paint</t>
  </si>
  <si>
    <t>tt12823454</t>
  </si>
  <si>
    <t>Your Place or Mine</t>
  </si>
  <si>
    <t>tt20879602</t>
  </si>
  <si>
    <t>Maybe I Do</t>
  </si>
  <si>
    <t>tt10304142</t>
  </si>
  <si>
    <t>Amsterdam</t>
  </si>
  <si>
    <t>tt11755740</t>
  </si>
  <si>
    <t>Texas Chainsaw Massacre</t>
  </si>
  <si>
    <t>tt21191806</t>
  </si>
  <si>
    <t>Back in Action</t>
  </si>
  <si>
    <t>tt14948432</t>
  </si>
  <si>
    <t>Red One</t>
  </si>
  <si>
    <t>tt6906292</t>
  </si>
  <si>
    <t>Retribution</t>
  </si>
  <si>
    <t>tt10276482</t>
  </si>
  <si>
    <t>Love Again</t>
  </si>
  <si>
    <t>tt13456318</t>
  </si>
  <si>
    <t>Persuasion</t>
  </si>
  <si>
    <t>tt10078772</t>
  </si>
  <si>
    <t>Flight Risk</t>
  </si>
  <si>
    <t>tt16431870</t>
  </si>
  <si>
    <t>The Family Plan</t>
  </si>
  <si>
    <t>tt1777595</t>
  </si>
  <si>
    <t>50 to 1</t>
  </si>
  <si>
    <t>tt14458442</t>
  </si>
  <si>
    <t>The Son</t>
  </si>
  <si>
    <t>tt8005118</t>
  </si>
  <si>
    <t>House Party</t>
  </si>
  <si>
    <t>tt11040762</t>
  </si>
  <si>
    <t>Alice</t>
  </si>
  <si>
    <t>tt8041270</t>
  </si>
  <si>
    <t>Jurassic World: Dominion</t>
  </si>
  <si>
    <t>tt11827628</t>
  </si>
  <si>
    <t>tt30253036</t>
  </si>
  <si>
    <t>Kinda Pregnant</t>
  </si>
  <si>
    <t>tt32084246</t>
  </si>
  <si>
    <t>Mary</t>
  </si>
  <si>
    <t>tt20215816</t>
  </si>
  <si>
    <t>The Fabulous Four</t>
  </si>
  <si>
    <t>tt7991508</t>
  </si>
  <si>
    <t>Finestkind</t>
  </si>
  <si>
    <t>tt23872640</t>
  </si>
  <si>
    <t>Dirty Angels</t>
  </si>
  <si>
    <t>tt1609486</t>
  </si>
  <si>
    <t>Harold and the Purple Crayon</t>
  </si>
  <si>
    <t>tt18394190</t>
  </si>
  <si>
    <t>Old Dads</t>
  </si>
  <si>
    <t>tt9224104</t>
  </si>
  <si>
    <t>Meg 2: The Trench</t>
  </si>
  <si>
    <t>tt9663168</t>
  </si>
  <si>
    <t>The Devil Conspiracy</t>
  </si>
  <si>
    <t>tt13698942</t>
  </si>
  <si>
    <t>The Immaculate Room</t>
  </si>
  <si>
    <t>tt1488589</t>
  </si>
  <si>
    <t>Guillermo del Toro's Pinocchio</t>
  </si>
  <si>
    <t>tt4593060</t>
  </si>
  <si>
    <t>Pinocchio</t>
  </si>
  <si>
    <t>tt13133936</t>
  </si>
  <si>
    <t>The Desperate Hour</t>
  </si>
  <si>
    <t>tt26442053</t>
  </si>
  <si>
    <t>Old Guy</t>
  </si>
  <si>
    <t>tt14857528</t>
  </si>
  <si>
    <t>Time Cut</t>
  </si>
  <si>
    <t>tt11240348</t>
  </si>
  <si>
    <t>The Exorcism</t>
  </si>
  <si>
    <t>tt13751694</t>
  </si>
  <si>
    <t>Animal</t>
  </si>
  <si>
    <t>tt6436620</t>
  </si>
  <si>
    <t>White Men Can't Jump</t>
  </si>
  <si>
    <t>tt20853816</t>
  </si>
  <si>
    <t>The Mean One</t>
  </si>
  <si>
    <t>tt24577462</t>
  </si>
  <si>
    <t>Afraid</t>
  </si>
  <si>
    <t>tt30007864</t>
  </si>
  <si>
    <t>The American Society of Magical Negroes</t>
  </si>
  <si>
    <t>tt26658104</t>
  </si>
  <si>
    <t>Imaginary</t>
  </si>
  <si>
    <t>tt6048442</t>
  </si>
  <si>
    <t>Back on the Strip</t>
  </si>
  <si>
    <t>tt6722802</t>
  </si>
  <si>
    <t>Marlowe</t>
  </si>
  <si>
    <t>tt4419684</t>
  </si>
  <si>
    <t>In the Lost Lands</t>
  </si>
  <si>
    <t>tt2396431</t>
  </si>
  <si>
    <t>Dear Santa</t>
  </si>
  <si>
    <t>tt21284218</t>
  </si>
  <si>
    <t>Incoming</t>
  </si>
  <si>
    <t>tt16491560</t>
  </si>
  <si>
    <t>A Sacrifice</t>
  </si>
  <si>
    <t>tt18077924</t>
  </si>
  <si>
    <t>Poolman</t>
  </si>
  <si>
    <t>tt8258502</t>
  </si>
  <si>
    <t>Foe</t>
  </si>
  <si>
    <t>tt14270702</t>
  </si>
  <si>
    <t>God Is a Bullet</t>
  </si>
  <si>
    <t>tt0768183</t>
  </si>
  <si>
    <t>Day Zero</t>
  </si>
  <si>
    <t>tt11671006</t>
  </si>
  <si>
    <t>The Man from Toronto</t>
  </si>
  <si>
    <t>tt9603060</t>
  </si>
  <si>
    <t>Star Trek: Section 31</t>
  </si>
  <si>
    <t>tt15257160</t>
  </si>
  <si>
    <t>Pain Hustlers</t>
  </si>
  <si>
    <t>tt7326608</t>
  </si>
  <si>
    <t>The Almond and the Seahorse</t>
  </si>
  <si>
    <t>tt5315212</t>
  </si>
  <si>
    <t>Senior Year</t>
  </si>
  <si>
    <t>tt21222462</t>
  </si>
  <si>
    <t>The Good Mother</t>
  </si>
  <si>
    <t>tt14998742</t>
  </si>
  <si>
    <t>Rebel Moon - Part One: A Child of Fire</t>
  </si>
  <si>
    <t>tt12921446</t>
  </si>
  <si>
    <t>The Exorcist: Believer</t>
  </si>
  <si>
    <t>tt11274492</t>
  </si>
  <si>
    <t>The Out-Laws</t>
  </si>
  <si>
    <t>tt22050754</t>
  </si>
  <si>
    <t>The Strangers: Chapter 1</t>
  </si>
  <si>
    <t>tt6528290</t>
  </si>
  <si>
    <t>Knights of the Zodiac</t>
  </si>
  <si>
    <t>tt13923456</t>
  </si>
  <si>
    <t>Mafia Mamma</t>
  </si>
  <si>
    <t>tt5834874</t>
  </si>
  <si>
    <t>Trigger Warning</t>
  </si>
  <si>
    <t>tt24131288</t>
  </si>
  <si>
    <t>Cash Out</t>
  </si>
  <si>
    <t>tt13097336</t>
  </si>
  <si>
    <t>The Lady of Heaven</t>
  </si>
  <si>
    <t>tt15333788</t>
  </si>
  <si>
    <t>Out of the Blue</t>
  </si>
  <si>
    <t>tt13610562</t>
  </si>
  <si>
    <t>The Bubble</t>
  </si>
  <si>
    <t>tt9682428</t>
  </si>
  <si>
    <t>Night Swim</t>
  </si>
  <si>
    <t>tt30788842</t>
  </si>
  <si>
    <t>Love Hurts</t>
  </si>
  <si>
    <t>tt14856980</t>
  </si>
  <si>
    <t>Atlas</t>
  </si>
  <si>
    <t>tt26861992</t>
  </si>
  <si>
    <t>Mea Culpa</t>
  </si>
  <si>
    <t>tt27419292</t>
  </si>
  <si>
    <t>Killer Heat</t>
  </si>
  <si>
    <t>tt14088510</t>
  </si>
  <si>
    <t>Tarot</t>
  </si>
  <si>
    <t>tt2980152</t>
  </si>
  <si>
    <t>Abandoned</t>
  </si>
  <si>
    <t>tt0493395</t>
  </si>
  <si>
    <t>Badland</t>
  </si>
  <si>
    <t>tt8790086</t>
  </si>
  <si>
    <t>Kraven the Hunter</t>
  </si>
  <si>
    <t>tt9271672</t>
  </si>
  <si>
    <t>Prey for the Devil</t>
  </si>
  <si>
    <t>tt5108870</t>
  </si>
  <si>
    <t>Morbius</t>
  </si>
  <si>
    <t>tt7766378</t>
  </si>
  <si>
    <t>The Electric State</t>
  </si>
  <si>
    <t>tt13186604</t>
  </si>
  <si>
    <t>Uglies</t>
  </si>
  <si>
    <t>tt3291150</t>
  </si>
  <si>
    <t>The Expendables 4</t>
  </si>
  <si>
    <t>tt14656632</t>
  </si>
  <si>
    <t>Paradise City</t>
  </si>
  <si>
    <t>tt26926267</t>
  </si>
  <si>
    <t>Mother of the Bride</t>
  </si>
  <si>
    <t>tt14060094</t>
  </si>
  <si>
    <t>Blacklight</t>
  </si>
  <si>
    <t>tt12311866</t>
  </si>
  <si>
    <t>Children of the Corn</t>
  </si>
  <si>
    <t>tt4978420</t>
  </si>
  <si>
    <t>Borderlands</t>
  </si>
  <si>
    <t>tt11057302</t>
  </si>
  <si>
    <t>Madame Web</t>
  </si>
  <si>
    <t>tt15744298</t>
  </si>
  <si>
    <t>Freelance</t>
  </si>
  <si>
    <t>tt1798632</t>
  </si>
  <si>
    <t>Firestarter</t>
  </si>
  <si>
    <t>tt14714980</t>
  </si>
  <si>
    <t>Poker Face</t>
  </si>
  <si>
    <t>tt26928684</t>
  </si>
  <si>
    <t>Summer Camp</t>
  </si>
  <si>
    <t>tt14309446</t>
  </si>
  <si>
    <t>Me Time</t>
  </si>
  <si>
    <t>tt19623240</t>
  </si>
  <si>
    <t>Winnie-the-Pooh: Blood and Honey</t>
  </si>
  <si>
    <t>tt31456973</t>
  </si>
  <si>
    <t>Alarum</t>
  </si>
  <si>
    <t>imdb_votes</t>
  </si>
  <si>
    <t>Mean</t>
  </si>
  <si>
    <t>Median</t>
  </si>
  <si>
    <t>Std Dev</t>
  </si>
  <si>
    <t>Min</t>
  </si>
  <si>
    <t>Max</t>
  </si>
  <si>
    <t>IMDB</t>
  </si>
  <si>
    <t>IMDB Votes</t>
  </si>
  <si>
    <t>TMDB</t>
  </si>
  <si>
    <t>TMDB Votes</t>
  </si>
  <si>
    <t>Tomatometer</t>
  </si>
  <si>
    <t>Metacritic</t>
  </si>
  <si>
    <t>High Review Count and Low Scores</t>
  </si>
  <si>
    <t>IMDB and TMDB</t>
  </si>
  <si>
    <t>Metacritic and Tomatometer</t>
  </si>
  <si>
    <t>Votes and Votes?</t>
  </si>
  <si>
    <t>Review Ratio</t>
  </si>
  <si>
    <t>Ratio</t>
  </si>
  <si>
    <t>Movie</t>
  </si>
  <si>
    <t>IMDB Votes/TMDB Votes</t>
  </si>
  <si>
    <t>High Rating w/ Low Votes</t>
  </si>
  <si>
    <t>Rating</t>
  </si>
  <si>
    <t>Votes</t>
  </si>
  <si>
    <t>Both</t>
  </si>
  <si>
    <t>IMDB Rating</t>
  </si>
  <si>
    <t>TMDB Rating</t>
  </si>
  <si>
    <t>Of 100 Highest Rated and 100 Lowest Votes</t>
  </si>
  <si>
    <t>Of 100 Lowest Rated and 100 Highest Votes</t>
  </si>
  <si>
    <t>"Nimona" &amp;&amp; "Totem"</t>
  </si>
  <si>
    <t>48x Reviews on IMDB</t>
  </si>
  <si>
    <t>None for TMDB</t>
  </si>
  <si>
    <t>High Review Count and High Scores</t>
  </si>
  <si>
    <t>Of 100 Highest Rated and 100 Highest Votes</t>
  </si>
  <si>
    <t>t-Test: Paired Two Sample for Means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</si>
  <si>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</si>
  <si>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</si>
  <si>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</si>
  <si>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</si>
  <si>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</si>
  <si>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</si>
  <si>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</si>
  <si>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</si>
  <si>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</si>
  <si>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</si>
  <si>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Rotten Tomatoes</t>
  </si>
  <si>
    <t>Count</t>
  </si>
  <si>
    <t>First Release Date</t>
  </si>
  <si>
    <t>Last Release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</si>
</sst>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14" fontId="0" fillId="0" borderId="0" xfId="0" applyNumberFormat="1"/>
    <xf numFmtId="16" fontId="0" fillId="0" borderId="0" xfId="0" applyNumberForma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33" borderId="10" xfId="0" applyFill="1" applyBorder="1"/>
    <xf numFmtId="0" fontId="0" fillId="0" borderId="21" xfId="0" applyBorder="1"/>
    <xf numFmtId="0" fontId="0" fillId="0" borderId="22" xfId="0" applyBorder="1"/>
    <xf numFmtId="0" fontId="0" fillId="34" borderId="0" xfId="0" applyFill="1"/>
    <xf numFmtId="14" fontId="0" fillId="34" borderId="0" xfId="0" applyNumberFormat="1" applyFill="1"/>
    <xf numFmtId="0" fontId="0" fillId="35" borderId="0" xfId="0" applyFill="1"/>
    <xf numFmtId="14" fontId="0" fillId="35" borderId="0" xfId="0" applyNumberFormat="1" applyFill="1"/>
    <xf numFmtId="14" fontId="0" fillId="0" borderId="16" xfId="0" applyNumberFormat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8" fillId="0" borderId="0" xfId="0" applyFont="1"/>
    <xf numFmtId="0" fontId="0" fillId="36" borderId="0" xfId="0" applyFill="1"/>
    <xf numFmtId="14" fontId="0" fillId="36" borderId="0" xfId="0" applyNumberFormat="1" applyFill="1"/>
    <xf numFmtId="0" fontId="0" fillId="37" borderId="0" xfId="0" applyFill="1"/>
    <xf numFmtId="14" fontId="0" fillId="37" borderId="0" xfId="0" applyNumberFormat="1" applyFill="1"/>
    <xf numFmtId="0" fontId="0" fillId="38" borderId="0" xfId="0" applyFill="1"/>
    <xf numFmtId="14" fontId="0" fillId="38" borderId="0" xfId="0" applyNumberFormat="1" applyFill="1"/>
    <xf numFmtId="0" fontId="0" fillId="0" borderId="0" xfId="0" applyFill="1" applyBorder="1" applyAlignment="1"/>
    <xf numFmtId="0" fontId="0" fillId="0" borderId="16" xfId="0" applyFill="1" applyBorder="1" applyAlignment="1"/>
    <xf numFmtId="0" fontId="19" fillId="0" borderId="24" xfId="0" applyFont="1" applyFill="1" applyBorder="1" applyAlignment="1">
      <alignment horizontal="center"/>
    </xf>
    <xf numFmtId="0" fontId="0" fillId="36" borderId="16" xfId="0" applyFill="1" applyBorder="1"/>
    <xf numFmtId="0" fontId="0" fillId="36" borderId="0" xfId="0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62B53-D463-4C07-A261-4A63A6F0FC4F}">
  <dimension ref="A1:M1001"/>
  <sheetViews>
    <sheetView workbookViewId="0">
      <selection activeCell="M10" sqref="M10"/>
    </sheetView>
  </sheetViews>
  <sheetFormatPr defaultRowHeight="14.4" x14ac:dyDescent="0.3"/>
  <cols>
    <col min="5" max="5" width="11.5546875" customWidth="1"/>
    <col min="13" max="13" width="9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2016</v>
      </c>
      <c r="H1" t="s">
        <v>7</v>
      </c>
      <c r="I1" t="s">
        <v>8</v>
      </c>
      <c r="J1" t="s">
        <v>5</v>
      </c>
      <c r="K1" t="s">
        <v>9</v>
      </c>
    </row>
    <row r="2" spans="1:13" x14ac:dyDescent="0.3">
      <c r="A2" t="s">
        <v>10</v>
      </c>
      <c r="B2" t="s">
        <v>11</v>
      </c>
      <c r="C2">
        <v>69</v>
      </c>
      <c r="D2" t="s">
        <v>12</v>
      </c>
      <c r="E2" s="1">
        <v>44658</v>
      </c>
      <c r="F2">
        <v>7.3</v>
      </c>
      <c r="G2">
        <v>715</v>
      </c>
      <c r="H2">
        <v>7</v>
      </c>
      <c r="I2">
        <v>7</v>
      </c>
      <c r="J2">
        <v>88</v>
      </c>
      <c r="K2">
        <v>100</v>
      </c>
    </row>
    <row r="3" spans="1:13" x14ac:dyDescent="0.3">
      <c r="A3" t="s">
        <v>13</v>
      </c>
      <c r="B3" t="s">
        <v>14</v>
      </c>
      <c r="C3">
        <v>169</v>
      </c>
      <c r="D3" t="s">
        <v>15</v>
      </c>
      <c r="E3" s="1">
        <v>45211</v>
      </c>
      <c r="F3">
        <v>8</v>
      </c>
      <c r="G3">
        <v>24000</v>
      </c>
      <c r="H3">
        <v>8.1890000000000001</v>
      </c>
      <c r="I3">
        <v>514</v>
      </c>
      <c r="J3">
        <v>82</v>
      </c>
      <c r="K3">
        <v>98</v>
      </c>
    </row>
    <row r="4" spans="1:13" x14ac:dyDescent="0.3">
      <c r="A4" t="s">
        <v>16</v>
      </c>
      <c r="B4" t="s">
        <v>17</v>
      </c>
      <c r="C4">
        <v>121</v>
      </c>
      <c r="D4" t="s">
        <v>18</v>
      </c>
      <c r="E4" s="1">
        <v>45021</v>
      </c>
      <c r="F4">
        <v>6.7</v>
      </c>
      <c r="G4">
        <v>24000</v>
      </c>
      <c r="H4">
        <v>6.9219999999999997</v>
      </c>
      <c r="I4">
        <v>1378</v>
      </c>
      <c r="J4">
        <v>79</v>
      </c>
      <c r="K4">
        <v>98</v>
      </c>
    </row>
    <row r="5" spans="1:13" x14ac:dyDescent="0.3">
      <c r="A5" t="s">
        <v>19</v>
      </c>
      <c r="B5" t="s">
        <v>20</v>
      </c>
      <c r="C5">
        <v>99</v>
      </c>
      <c r="D5" t="s">
        <v>12</v>
      </c>
      <c r="E5" s="1">
        <v>44723</v>
      </c>
      <c r="F5">
        <v>8.1999999999999993</v>
      </c>
      <c r="G5">
        <v>1600</v>
      </c>
      <c r="H5">
        <v>7.1</v>
      </c>
      <c r="I5">
        <v>12</v>
      </c>
      <c r="J5">
        <v>79</v>
      </c>
      <c r="K5">
        <v>98</v>
      </c>
    </row>
    <row r="6" spans="1:13" x14ac:dyDescent="0.3">
      <c r="A6" t="s">
        <v>21</v>
      </c>
      <c r="B6" t="s">
        <v>22</v>
      </c>
      <c r="C6">
        <v>137</v>
      </c>
      <c r="D6" t="s">
        <v>15</v>
      </c>
      <c r="E6" s="1">
        <v>45695</v>
      </c>
      <c r="F6">
        <v>8.4</v>
      </c>
      <c r="G6">
        <v>98000</v>
      </c>
      <c r="H6">
        <v>7.9020000000000001</v>
      </c>
      <c r="I6">
        <v>1035</v>
      </c>
      <c r="J6">
        <v>85</v>
      </c>
      <c r="K6">
        <v>97</v>
      </c>
    </row>
    <row r="7" spans="1:13" x14ac:dyDescent="0.3">
      <c r="A7" t="s">
        <v>23</v>
      </c>
      <c r="B7" t="s">
        <v>24</v>
      </c>
      <c r="C7">
        <v>95</v>
      </c>
      <c r="D7" t="s">
        <v>25</v>
      </c>
      <c r="E7" s="1">
        <v>45405</v>
      </c>
      <c r="F7">
        <v>7</v>
      </c>
      <c r="G7">
        <v>3700</v>
      </c>
      <c r="H7">
        <v>6.8330000000000002</v>
      </c>
      <c r="I7">
        <v>90</v>
      </c>
      <c r="J7">
        <v>91</v>
      </c>
      <c r="K7">
        <v>97</v>
      </c>
    </row>
    <row r="8" spans="1:13" x14ac:dyDescent="0.3">
      <c r="A8" t="s">
        <v>26</v>
      </c>
      <c r="B8" t="s">
        <v>27</v>
      </c>
      <c r="C8">
        <v>93</v>
      </c>
      <c r="D8" t="s">
        <v>28</v>
      </c>
      <c r="E8" s="1">
        <v>45520</v>
      </c>
      <c r="F8">
        <v>7.3</v>
      </c>
      <c r="G8">
        <v>12000</v>
      </c>
      <c r="H8">
        <v>7.2</v>
      </c>
      <c r="I8">
        <v>193</v>
      </c>
      <c r="J8">
        <v>78</v>
      </c>
      <c r="K8">
        <v>96</v>
      </c>
      <c r="M8" s="1"/>
    </row>
    <row r="9" spans="1:13" x14ac:dyDescent="0.3">
      <c r="A9" t="s">
        <v>29</v>
      </c>
      <c r="B9" t="s">
        <v>30</v>
      </c>
      <c r="C9">
        <v>122</v>
      </c>
      <c r="D9" t="s">
        <v>12</v>
      </c>
      <c r="E9" s="1">
        <v>45030</v>
      </c>
      <c r="F9">
        <v>7.6</v>
      </c>
      <c r="G9">
        <v>52000</v>
      </c>
      <c r="H9">
        <v>7.8869999999999996</v>
      </c>
      <c r="I9">
        <v>1701</v>
      </c>
      <c r="J9">
        <v>77</v>
      </c>
      <c r="K9">
        <v>96</v>
      </c>
      <c r="M9" s="1"/>
    </row>
    <row r="10" spans="1:13" x14ac:dyDescent="0.3">
      <c r="A10" t="s">
        <v>31</v>
      </c>
      <c r="B10" t="s">
        <v>32</v>
      </c>
      <c r="C10">
        <v>102</v>
      </c>
      <c r="D10" t="s">
        <v>12</v>
      </c>
      <c r="E10" s="1">
        <v>44916</v>
      </c>
      <c r="F10">
        <v>7.8</v>
      </c>
      <c r="G10">
        <v>201000</v>
      </c>
      <c r="H10">
        <v>8.2010000000000005</v>
      </c>
      <c r="I10">
        <v>8729</v>
      </c>
      <c r="J10">
        <v>73</v>
      </c>
      <c r="K10">
        <v>95</v>
      </c>
    </row>
    <row r="11" spans="1:13" x14ac:dyDescent="0.3">
      <c r="A11" t="s">
        <v>33</v>
      </c>
      <c r="B11" t="s">
        <v>34</v>
      </c>
      <c r="C11">
        <v>95</v>
      </c>
      <c r="D11" t="s">
        <v>28</v>
      </c>
      <c r="E11" s="1">
        <v>45135</v>
      </c>
      <c r="F11">
        <v>7.1</v>
      </c>
      <c r="G11">
        <v>179000</v>
      </c>
      <c r="H11">
        <v>7.1360000000000001</v>
      </c>
      <c r="I11">
        <v>3665</v>
      </c>
      <c r="J11">
        <v>76</v>
      </c>
      <c r="K11">
        <v>94</v>
      </c>
    </row>
    <row r="12" spans="1:13" x14ac:dyDescent="0.3">
      <c r="A12" t="s">
        <v>35</v>
      </c>
      <c r="B12" t="s">
        <v>36</v>
      </c>
      <c r="C12">
        <v>95</v>
      </c>
      <c r="D12" t="s">
        <v>18</v>
      </c>
      <c r="E12" s="1">
        <v>44624</v>
      </c>
      <c r="F12">
        <v>6.7</v>
      </c>
      <c r="G12">
        <v>3300</v>
      </c>
      <c r="H12">
        <v>6.7</v>
      </c>
      <c r="I12">
        <v>64</v>
      </c>
      <c r="J12">
        <v>75</v>
      </c>
      <c r="K12">
        <v>94</v>
      </c>
    </row>
    <row r="13" spans="1:13" x14ac:dyDescent="0.3">
      <c r="A13" t="s">
        <v>37</v>
      </c>
      <c r="B13" t="s">
        <v>38</v>
      </c>
      <c r="C13">
        <v>117</v>
      </c>
      <c r="D13" t="s">
        <v>12</v>
      </c>
      <c r="E13" s="1">
        <v>44920</v>
      </c>
      <c r="F13">
        <v>7</v>
      </c>
      <c r="G13">
        <v>31000</v>
      </c>
      <c r="H13">
        <v>6.7910000000000004</v>
      </c>
      <c r="I13">
        <v>809</v>
      </c>
      <c r="J13">
        <v>72</v>
      </c>
      <c r="K13">
        <v>93</v>
      </c>
    </row>
    <row r="14" spans="1:13" x14ac:dyDescent="0.3">
      <c r="A14" t="s">
        <v>39</v>
      </c>
      <c r="B14" t="s">
        <v>40</v>
      </c>
      <c r="C14">
        <v>126</v>
      </c>
      <c r="D14" t="s">
        <v>28</v>
      </c>
      <c r="E14" s="1">
        <v>45212</v>
      </c>
      <c r="F14">
        <v>7.1</v>
      </c>
      <c r="G14">
        <v>40000</v>
      </c>
      <c r="H14">
        <v>7.0789999999999997</v>
      </c>
      <c r="I14">
        <v>606</v>
      </c>
      <c r="J14">
        <v>74</v>
      </c>
      <c r="K14">
        <v>92</v>
      </c>
    </row>
    <row r="15" spans="1:13" x14ac:dyDescent="0.3">
      <c r="A15" t="s">
        <v>41</v>
      </c>
      <c r="B15" t="s">
        <v>42</v>
      </c>
      <c r="C15">
        <v>134</v>
      </c>
      <c r="D15" t="s">
        <v>15</v>
      </c>
      <c r="E15" s="1">
        <v>45016</v>
      </c>
      <c r="F15">
        <v>7.2</v>
      </c>
      <c r="G15">
        <v>257000</v>
      </c>
      <c r="H15">
        <v>7.3259999999999996</v>
      </c>
      <c r="I15">
        <v>4501</v>
      </c>
      <c r="J15">
        <v>72</v>
      </c>
      <c r="K15">
        <v>91</v>
      </c>
    </row>
    <row r="16" spans="1:13" x14ac:dyDescent="0.3">
      <c r="A16" t="s">
        <v>43</v>
      </c>
      <c r="B16" t="s">
        <v>44</v>
      </c>
      <c r="C16">
        <v>158</v>
      </c>
      <c r="D16" t="s">
        <v>28</v>
      </c>
      <c r="E16" s="1">
        <v>44862</v>
      </c>
      <c r="F16">
        <v>7.4</v>
      </c>
      <c r="G16">
        <v>103000</v>
      </c>
      <c r="H16">
        <v>7.1020000000000003</v>
      </c>
      <c r="I16">
        <v>1499</v>
      </c>
      <c r="J16">
        <v>93</v>
      </c>
      <c r="K16">
        <v>91</v>
      </c>
    </row>
    <row r="17" spans="1:11" x14ac:dyDescent="0.3">
      <c r="A17" t="s">
        <v>45</v>
      </c>
      <c r="B17" t="s">
        <v>46</v>
      </c>
      <c r="C17">
        <v>86</v>
      </c>
      <c r="D17" t="s">
        <v>18</v>
      </c>
      <c r="E17" s="1">
        <v>44673</v>
      </c>
      <c r="F17">
        <v>5.4</v>
      </c>
      <c r="G17">
        <v>7700</v>
      </c>
      <c r="H17">
        <v>5.47</v>
      </c>
      <c r="I17">
        <v>150</v>
      </c>
      <c r="J17">
        <v>78</v>
      </c>
      <c r="K17">
        <v>91</v>
      </c>
    </row>
    <row r="18" spans="1:11" x14ac:dyDescent="0.3">
      <c r="A18" t="s">
        <v>47</v>
      </c>
      <c r="B18" t="s">
        <v>48</v>
      </c>
      <c r="C18">
        <v>97</v>
      </c>
      <c r="D18" t="s">
        <v>15</v>
      </c>
      <c r="E18" s="1">
        <v>44652</v>
      </c>
      <c r="F18">
        <v>7.2</v>
      </c>
      <c r="G18">
        <v>13000</v>
      </c>
      <c r="H18">
        <v>7</v>
      </c>
      <c r="I18">
        <v>313</v>
      </c>
      <c r="J18">
        <v>79</v>
      </c>
      <c r="K18">
        <v>91</v>
      </c>
    </row>
    <row r="19" spans="1:11" x14ac:dyDescent="0.3">
      <c r="A19" t="s">
        <v>49</v>
      </c>
      <c r="B19" t="s">
        <v>50</v>
      </c>
      <c r="C19">
        <v>111</v>
      </c>
      <c r="D19" t="s">
        <v>12</v>
      </c>
      <c r="E19" s="1">
        <v>45449</v>
      </c>
      <c r="F19">
        <v>6.4</v>
      </c>
      <c r="G19">
        <v>1500</v>
      </c>
      <c r="H19">
        <v>6.1</v>
      </c>
      <c r="I19">
        <v>28</v>
      </c>
      <c r="J19">
        <v>66</v>
      </c>
      <c r="K19">
        <v>90</v>
      </c>
    </row>
    <row r="20" spans="1:11" x14ac:dyDescent="0.3">
      <c r="A20" t="s">
        <v>51</v>
      </c>
      <c r="B20" t="s">
        <v>52</v>
      </c>
      <c r="C20">
        <v>104</v>
      </c>
      <c r="D20" t="s">
        <v>28</v>
      </c>
      <c r="E20" s="1">
        <v>45345</v>
      </c>
      <c r="F20">
        <v>7.1</v>
      </c>
      <c r="G20">
        <v>8300</v>
      </c>
      <c r="H20">
        <v>6.5119999999999996</v>
      </c>
      <c r="I20">
        <v>483</v>
      </c>
      <c r="J20">
        <v>61</v>
      </c>
      <c r="K20">
        <v>88</v>
      </c>
    </row>
    <row r="21" spans="1:11" x14ac:dyDescent="0.3">
      <c r="A21" t="s">
        <v>53</v>
      </c>
      <c r="B21" t="s">
        <v>54</v>
      </c>
      <c r="C21">
        <v>102</v>
      </c>
      <c r="D21" t="s">
        <v>28</v>
      </c>
      <c r="E21" s="1">
        <v>44820</v>
      </c>
      <c r="F21">
        <v>5.6</v>
      </c>
      <c r="G21">
        <v>4500</v>
      </c>
      <c r="H21">
        <v>5.6</v>
      </c>
      <c r="I21">
        <v>97</v>
      </c>
      <c r="J21">
        <v>77</v>
      </c>
      <c r="K21">
        <v>88</v>
      </c>
    </row>
    <row r="22" spans="1:11" x14ac:dyDescent="0.3">
      <c r="A22" t="s">
        <v>55</v>
      </c>
      <c r="B22" t="s">
        <v>56</v>
      </c>
      <c r="C22">
        <v>130</v>
      </c>
      <c r="D22" t="s">
        <v>28</v>
      </c>
      <c r="E22" s="1">
        <v>44848</v>
      </c>
      <c r="F22">
        <v>6.8</v>
      </c>
      <c r="G22">
        <v>9200</v>
      </c>
      <c r="H22">
        <v>6.9</v>
      </c>
      <c r="I22">
        <v>248</v>
      </c>
      <c r="J22">
        <v>75</v>
      </c>
      <c r="K22">
        <v>87</v>
      </c>
    </row>
    <row r="23" spans="1:11" x14ac:dyDescent="0.3">
      <c r="A23" t="s">
        <v>57</v>
      </c>
      <c r="B23" t="s">
        <v>58</v>
      </c>
      <c r="C23">
        <v>121</v>
      </c>
      <c r="D23" t="s">
        <v>28</v>
      </c>
      <c r="E23" s="1">
        <v>45401</v>
      </c>
      <c r="F23">
        <v>6.7</v>
      </c>
      <c r="G23">
        <v>2100</v>
      </c>
      <c r="H23">
        <v>7.4039999999999999</v>
      </c>
      <c r="I23">
        <v>109</v>
      </c>
      <c r="J23">
        <v>77</v>
      </c>
      <c r="K23">
        <v>86</v>
      </c>
    </row>
    <row r="24" spans="1:11" x14ac:dyDescent="0.3">
      <c r="A24" t="s">
        <v>59</v>
      </c>
      <c r="B24" t="s">
        <v>60</v>
      </c>
      <c r="C24">
        <v>99</v>
      </c>
      <c r="D24" t="s">
        <v>18</v>
      </c>
      <c r="E24" s="1">
        <v>44819</v>
      </c>
      <c r="F24">
        <v>6.4</v>
      </c>
      <c r="G24">
        <v>3400</v>
      </c>
      <c r="H24">
        <v>6.3</v>
      </c>
      <c r="I24">
        <v>230</v>
      </c>
      <c r="J24">
        <v>70</v>
      </c>
      <c r="K24">
        <v>85</v>
      </c>
    </row>
    <row r="25" spans="1:11" x14ac:dyDescent="0.3">
      <c r="A25" t="s">
        <v>61</v>
      </c>
      <c r="B25" t="s">
        <v>62</v>
      </c>
      <c r="C25">
        <v>92</v>
      </c>
      <c r="D25" t="s">
        <v>63</v>
      </c>
      <c r="E25" s="1">
        <v>45576</v>
      </c>
      <c r="F25">
        <v>5.6</v>
      </c>
      <c r="G25">
        <v>4700</v>
      </c>
      <c r="H25">
        <v>5.9960000000000004</v>
      </c>
      <c r="I25">
        <v>141</v>
      </c>
      <c r="J25">
        <v>69</v>
      </c>
      <c r="K25">
        <v>84</v>
      </c>
    </row>
    <row r="26" spans="1:11" x14ac:dyDescent="0.3">
      <c r="A26" t="s">
        <v>64</v>
      </c>
      <c r="B26" t="s">
        <v>65</v>
      </c>
      <c r="C26">
        <v>96</v>
      </c>
      <c r="D26" t="s">
        <v>15</v>
      </c>
      <c r="E26" s="1">
        <v>45001</v>
      </c>
      <c r="F26">
        <v>6.8</v>
      </c>
      <c r="G26">
        <v>512</v>
      </c>
      <c r="H26">
        <v>6.5</v>
      </c>
      <c r="I26">
        <v>10</v>
      </c>
      <c r="J26">
        <v>68</v>
      </c>
      <c r="K26">
        <v>84</v>
      </c>
    </row>
    <row r="27" spans="1:11" x14ac:dyDescent="0.3">
      <c r="A27" t="s">
        <v>66</v>
      </c>
      <c r="B27" t="s">
        <v>67</v>
      </c>
      <c r="C27">
        <v>92</v>
      </c>
      <c r="D27" t="s">
        <v>28</v>
      </c>
      <c r="E27" s="1">
        <v>44869</v>
      </c>
      <c r="F27">
        <v>6.2</v>
      </c>
      <c r="G27">
        <v>12000</v>
      </c>
      <c r="H27">
        <v>6.4109999999999996</v>
      </c>
      <c r="I27">
        <v>209</v>
      </c>
      <c r="J27">
        <v>82</v>
      </c>
      <c r="K27">
        <v>84</v>
      </c>
    </row>
    <row r="28" spans="1:11" x14ac:dyDescent="0.3">
      <c r="A28" t="s">
        <v>68</v>
      </c>
      <c r="B28" t="s">
        <v>69</v>
      </c>
      <c r="C28">
        <v>116</v>
      </c>
      <c r="D28" t="s">
        <v>25</v>
      </c>
      <c r="E28" s="1">
        <v>44804</v>
      </c>
      <c r="F28">
        <v>6.1</v>
      </c>
      <c r="G28">
        <v>3800</v>
      </c>
      <c r="H28">
        <v>5.6</v>
      </c>
      <c r="I28">
        <v>104</v>
      </c>
      <c r="J28">
        <v>73</v>
      </c>
      <c r="K28">
        <v>84</v>
      </c>
    </row>
    <row r="29" spans="1:11" x14ac:dyDescent="0.3">
      <c r="A29" t="s">
        <v>70</v>
      </c>
      <c r="B29" t="s">
        <v>71</v>
      </c>
      <c r="C29">
        <v>117</v>
      </c>
      <c r="D29" t="s">
        <v>63</v>
      </c>
      <c r="E29" s="1">
        <v>45030</v>
      </c>
      <c r="F29">
        <v>6.9</v>
      </c>
      <c r="G29">
        <v>40000</v>
      </c>
      <c r="H29">
        <v>7.2089999999999996</v>
      </c>
      <c r="I29">
        <v>808</v>
      </c>
      <c r="J29">
        <v>48</v>
      </c>
      <c r="K29">
        <v>82</v>
      </c>
    </row>
    <row r="30" spans="1:11" x14ac:dyDescent="0.3">
      <c r="A30" t="s">
        <v>72</v>
      </c>
      <c r="B30" t="s">
        <v>73</v>
      </c>
      <c r="C30">
        <v>97</v>
      </c>
      <c r="D30" t="s">
        <v>12</v>
      </c>
      <c r="E30" s="1">
        <v>44701</v>
      </c>
      <c r="F30">
        <v>6.9</v>
      </c>
      <c r="G30">
        <v>49000</v>
      </c>
      <c r="H30">
        <v>7</v>
      </c>
      <c r="I30">
        <v>1354</v>
      </c>
      <c r="J30">
        <v>66</v>
      </c>
      <c r="K30">
        <v>81</v>
      </c>
    </row>
    <row r="31" spans="1:11" x14ac:dyDescent="0.3">
      <c r="A31" t="s">
        <v>74</v>
      </c>
      <c r="B31" t="s">
        <v>75</v>
      </c>
      <c r="C31">
        <v>103</v>
      </c>
      <c r="D31" t="s">
        <v>28</v>
      </c>
      <c r="E31" s="1">
        <v>45569</v>
      </c>
      <c r="F31">
        <v>6.6</v>
      </c>
      <c r="G31">
        <v>41000</v>
      </c>
      <c r="H31">
        <v>6.468</v>
      </c>
      <c r="I31">
        <v>774</v>
      </c>
      <c r="J31">
        <v>56</v>
      </c>
      <c r="K31">
        <v>80</v>
      </c>
    </row>
    <row r="32" spans="1:11" x14ac:dyDescent="0.3">
      <c r="A32" t="s">
        <v>76</v>
      </c>
      <c r="B32" t="s">
        <v>77</v>
      </c>
      <c r="C32">
        <v>92</v>
      </c>
      <c r="D32" t="s">
        <v>28</v>
      </c>
      <c r="E32" s="1">
        <v>45394</v>
      </c>
      <c r="F32">
        <v>5.5</v>
      </c>
      <c r="G32">
        <v>23000</v>
      </c>
      <c r="H32">
        <v>6.0389999999999997</v>
      </c>
      <c r="I32">
        <v>832</v>
      </c>
      <c r="J32">
        <v>57</v>
      </c>
      <c r="K32">
        <v>78</v>
      </c>
    </row>
    <row r="33" spans="1:11" x14ac:dyDescent="0.3">
      <c r="A33" t="s">
        <v>78</v>
      </c>
      <c r="B33" t="s">
        <v>79</v>
      </c>
      <c r="C33">
        <v>129</v>
      </c>
      <c r="D33" t="s">
        <v>28</v>
      </c>
      <c r="E33" s="1">
        <v>45280</v>
      </c>
      <c r="F33">
        <v>6.5</v>
      </c>
      <c r="G33">
        <v>67000</v>
      </c>
      <c r="H33">
        <v>6.266</v>
      </c>
      <c r="I33">
        <v>824</v>
      </c>
      <c r="J33">
        <v>77</v>
      </c>
      <c r="K33">
        <v>78</v>
      </c>
    </row>
    <row r="34" spans="1:11" x14ac:dyDescent="0.3">
      <c r="A34" t="s">
        <v>80</v>
      </c>
      <c r="B34" t="s">
        <v>81</v>
      </c>
      <c r="C34">
        <v>100</v>
      </c>
      <c r="D34" t="s">
        <v>12</v>
      </c>
      <c r="E34" s="1">
        <v>45184</v>
      </c>
      <c r="F34">
        <v>5.7</v>
      </c>
      <c r="G34">
        <v>784</v>
      </c>
      <c r="H34">
        <v>6.5</v>
      </c>
      <c r="I34">
        <v>24</v>
      </c>
      <c r="J34">
        <v>66</v>
      </c>
      <c r="K34">
        <v>78</v>
      </c>
    </row>
    <row r="35" spans="1:11" x14ac:dyDescent="0.3">
      <c r="A35" t="s">
        <v>82</v>
      </c>
      <c r="B35" t="s">
        <v>83</v>
      </c>
      <c r="C35">
        <v>116</v>
      </c>
      <c r="D35" t="s">
        <v>15</v>
      </c>
      <c r="E35" s="1">
        <v>45673</v>
      </c>
      <c r="F35">
        <v>6.8</v>
      </c>
      <c r="G35">
        <v>3900</v>
      </c>
      <c r="H35">
        <v>5.2430000000000003</v>
      </c>
      <c r="I35">
        <v>167</v>
      </c>
      <c r="J35">
        <v>64</v>
      </c>
      <c r="K35">
        <v>77</v>
      </c>
    </row>
    <row r="36" spans="1:11" x14ac:dyDescent="0.3">
      <c r="A36" t="s">
        <v>84</v>
      </c>
      <c r="B36" t="s">
        <v>85</v>
      </c>
      <c r="C36">
        <v>91</v>
      </c>
      <c r="D36" t="s">
        <v>28</v>
      </c>
      <c r="E36" s="1">
        <v>44624</v>
      </c>
      <c r="F36">
        <v>6.3</v>
      </c>
      <c r="G36">
        <v>1300</v>
      </c>
      <c r="H36">
        <v>6</v>
      </c>
      <c r="I36">
        <v>24</v>
      </c>
      <c r="J36">
        <v>69</v>
      </c>
      <c r="K36">
        <v>77</v>
      </c>
    </row>
    <row r="37" spans="1:11" x14ac:dyDescent="0.3">
      <c r="A37" t="s">
        <v>86</v>
      </c>
      <c r="B37" t="s">
        <v>87</v>
      </c>
      <c r="C37">
        <v>65</v>
      </c>
      <c r="D37" t="s">
        <v>15</v>
      </c>
      <c r="E37" s="1">
        <v>45338</v>
      </c>
      <c r="F37">
        <v>4.0999999999999996</v>
      </c>
      <c r="G37">
        <v>7100</v>
      </c>
      <c r="H37">
        <v>5.3</v>
      </c>
      <c r="I37">
        <v>90</v>
      </c>
      <c r="J37">
        <v>61</v>
      </c>
      <c r="K37">
        <v>76</v>
      </c>
    </row>
    <row r="38" spans="1:11" x14ac:dyDescent="0.3">
      <c r="A38" t="s">
        <v>88</v>
      </c>
      <c r="B38" t="s">
        <v>89</v>
      </c>
      <c r="C38">
        <v>88</v>
      </c>
      <c r="D38" t="s">
        <v>90</v>
      </c>
      <c r="E38" s="1">
        <v>45658</v>
      </c>
      <c r="F38">
        <v>6.1</v>
      </c>
      <c r="G38">
        <v>3600</v>
      </c>
      <c r="H38">
        <v>6.2309999999999999</v>
      </c>
      <c r="I38">
        <v>67</v>
      </c>
      <c r="J38">
        <v>56</v>
      </c>
      <c r="K38">
        <v>75</v>
      </c>
    </row>
    <row r="39" spans="1:11" x14ac:dyDescent="0.3">
      <c r="A39" t="s">
        <v>91</v>
      </c>
      <c r="B39" t="s">
        <v>92</v>
      </c>
      <c r="C39">
        <v>92</v>
      </c>
      <c r="D39" t="s">
        <v>28</v>
      </c>
      <c r="E39" s="1">
        <v>45590</v>
      </c>
      <c r="F39">
        <v>5.8</v>
      </c>
      <c r="G39">
        <v>38000</v>
      </c>
      <c r="H39">
        <v>6.319</v>
      </c>
      <c r="I39">
        <v>967</v>
      </c>
      <c r="J39">
        <v>54</v>
      </c>
      <c r="K39">
        <v>75</v>
      </c>
    </row>
    <row r="40" spans="1:11" x14ac:dyDescent="0.3">
      <c r="A40" t="s">
        <v>93</v>
      </c>
      <c r="B40" t="s">
        <v>94</v>
      </c>
      <c r="C40">
        <v>121</v>
      </c>
      <c r="D40" t="s">
        <v>28</v>
      </c>
      <c r="E40" s="1">
        <v>44841</v>
      </c>
      <c r="F40">
        <v>5.9</v>
      </c>
      <c r="G40">
        <v>52000</v>
      </c>
      <c r="H40">
        <v>6.173</v>
      </c>
      <c r="I40">
        <v>991</v>
      </c>
      <c r="J40">
        <v>55</v>
      </c>
      <c r="K40">
        <v>71</v>
      </c>
    </row>
    <row r="41" spans="1:11" x14ac:dyDescent="0.3">
      <c r="A41" t="s">
        <v>95</v>
      </c>
      <c r="B41" t="s">
        <v>96</v>
      </c>
      <c r="C41">
        <v>132</v>
      </c>
      <c r="D41" t="s">
        <v>28</v>
      </c>
      <c r="E41" s="1">
        <v>45609</v>
      </c>
      <c r="F41">
        <v>5.4</v>
      </c>
      <c r="G41">
        <v>85000</v>
      </c>
      <c r="H41">
        <v>6.4589999999999996</v>
      </c>
      <c r="I41">
        <v>1930</v>
      </c>
      <c r="J41">
        <v>70</v>
      </c>
      <c r="K41">
        <v>70</v>
      </c>
    </row>
    <row r="42" spans="1:11" x14ac:dyDescent="0.3">
      <c r="A42" t="s">
        <v>97</v>
      </c>
      <c r="B42" t="s">
        <v>98</v>
      </c>
      <c r="C42">
        <v>100</v>
      </c>
      <c r="D42" t="s">
        <v>28</v>
      </c>
      <c r="E42" s="1">
        <v>44834</v>
      </c>
      <c r="F42">
        <v>6</v>
      </c>
      <c r="G42">
        <v>3900</v>
      </c>
      <c r="H42">
        <v>6.0490000000000004</v>
      </c>
      <c r="I42">
        <v>91</v>
      </c>
      <c r="J42">
        <v>69</v>
      </c>
      <c r="K42">
        <v>68</v>
      </c>
    </row>
    <row r="43" spans="1:11" x14ac:dyDescent="0.3">
      <c r="A43" t="s">
        <v>99</v>
      </c>
      <c r="B43" t="s">
        <v>100</v>
      </c>
      <c r="C43">
        <v>99</v>
      </c>
      <c r="D43" t="s">
        <v>15</v>
      </c>
      <c r="E43" s="1">
        <v>45086</v>
      </c>
      <c r="F43">
        <v>6.8</v>
      </c>
      <c r="G43">
        <v>19000</v>
      </c>
      <c r="H43">
        <v>7.9489999999999998</v>
      </c>
      <c r="I43">
        <v>799</v>
      </c>
      <c r="J43">
        <v>58</v>
      </c>
      <c r="K43">
        <v>67</v>
      </c>
    </row>
    <row r="44" spans="1:11" x14ac:dyDescent="0.3">
      <c r="A44" t="s">
        <v>101</v>
      </c>
      <c r="B44">
        <v>1992</v>
      </c>
      <c r="C44">
        <v>97</v>
      </c>
      <c r="D44" t="s">
        <v>28</v>
      </c>
      <c r="E44" s="1">
        <v>45534</v>
      </c>
      <c r="F44">
        <v>5.7</v>
      </c>
      <c r="G44">
        <v>2900</v>
      </c>
      <c r="H44">
        <v>6.8579999999999997</v>
      </c>
      <c r="I44">
        <v>215</v>
      </c>
      <c r="J44">
        <v>44</v>
      </c>
      <c r="K44">
        <v>65</v>
      </c>
    </row>
    <row r="45" spans="1:11" x14ac:dyDescent="0.3">
      <c r="A45" t="s">
        <v>102</v>
      </c>
      <c r="B45" t="s">
        <v>103</v>
      </c>
      <c r="C45">
        <v>134</v>
      </c>
      <c r="D45" t="s">
        <v>15</v>
      </c>
      <c r="E45" s="1">
        <v>45163</v>
      </c>
      <c r="F45">
        <v>7.1</v>
      </c>
      <c r="G45">
        <v>119000</v>
      </c>
      <c r="H45">
        <v>7.7050000000000001</v>
      </c>
      <c r="I45">
        <v>3331</v>
      </c>
      <c r="J45">
        <v>48</v>
      </c>
      <c r="K45">
        <v>65</v>
      </c>
    </row>
    <row r="46" spans="1:11" x14ac:dyDescent="0.3">
      <c r="A46" t="s">
        <v>104</v>
      </c>
      <c r="B46" t="s">
        <v>105</v>
      </c>
      <c r="C46">
        <v>105</v>
      </c>
      <c r="D46" t="s">
        <v>28</v>
      </c>
      <c r="E46" s="1">
        <v>45181</v>
      </c>
      <c r="F46">
        <v>5.5</v>
      </c>
      <c r="G46">
        <v>20000</v>
      </c>
      <c r="H46">
        <v>5.7</v>
      </c>
      <c r="I46">
        <v>514</v>
      </c>
      <c r="J46">
        <v>53</v>
      </c>
      <c r="K46">
        <v>62</v>
      </c>
    </row>
    <row r="47" spans="1:11" x14ac:dyDescent="0.3">
      <c r="A47" t="s">
        <v>106</v>
      </c>
      <c r="B47" t="s">
        <v>107</v>
      </c>
      <c r="C47">
        <v>113</v>
      </c>
      <c r="D47" t="s">
        <v>12</v>
      </c>
      <c r="E47" s="1">
        <v>45408</v>
      </c>
      <c r="F47">
        <v>7</v>
      </c>
      <c r="G47">
        <v>4900</v>
      </c>
      <c r="H47">
        <v>6.9690000000000003</v>
      </c>
      <c r="I47">
        <v>80</v>
      </c>
      <c r="J47">
        <v>46</v>
      </c>
      <c r="K47">
        <v>61</v>
      </c>
    </row>
    <row r="48" spans="1:11" x14ac:dyDescent="0.3">
      <c r="A48" t="s">
        <v>108</v>
      </c>
      <c r="B48" t="s">
        <v>109</v>
      </c>
      <c r="C48">
        <v>120</v>
      </c>
      <c r="D48" t="s">
        <v>28</v>
      </c>
      <c r="E48" s="1">
        <v>45750</v>
      </c>
      <c r="F48">
        <v>6.1</v>
      </c>
      <c r="G48">
        <v>819</v>
      </c>
      <c r="H48">
        <v>6.7</v>
      </c>
      <c r="I48">
        <v>615</v>
      </c>
      <c r="J48">
        <v>60</v>
      </c>
      <c r="K48">
        <v>58</v>
      </c>
    </row>
    <row r="49" spans="1:11" x14ac:dyDescent="0.3">
      <c r="A49" t="s">
        <v>110</v>
      </c>
      <c r="B49" t="s">
        <v>111</v>
      </c>
      <c r="C49">
        <v>101</v>
      </c>
      <c r="D49" t="s">
        <v>28</v>
      </c>
      <c r="E49" s="1">
        <v>45681</v>
      </c>
      <c r="F49">
        <v>5.6</v>
      </c>
      <c r="G49">
        <v>1200</v>
      </c>
      <c r="H49">
        <v>6</v>
      </c>
      <c r="I49">
        <v>83</v>
      </c>
      <c r="J49">
        <v>55</v>
      </c>
      <c r="K49">
        <v>55</v>
      </c>
    </row>
    <row r="50" spans="1:11" x14ac:dyDescent="0.3">
      <c r="A50" t="s">
        <v>112</v>
      </c>
      <c r="B50" t="s">
        <v>113</v>
      </c>
      <c r="C50">
        <v>93</v>
      </c>
      <c r="D50" t="s">
        <v>28</v>
      </c>
      <c r="E50" s="1">
        <v>45156</v>
      </c>
      <c r="F50">
        <v>6.3</v>
      </c>
      <c r="G50">
        <v>35000</v>
      </c>
      <c r="H50">
        <v>7.1680000000000001</v>
      </c>
      <c r="I50">
        <v>992</v>
      </c>
      <c r="J50">
        <v>54</v>
      </c>
      <c r="K50">
        <v>54</v>
      </c>
    </row>
    <row r="51" spans="1:11" x14ac:dyDescent="0.3">
      <c r="A51" t="s">
        <v>114</v>
      </c>
      <c r="B51" t="s">
        <v>115</v>
      </c>
      <c r="C51">
        <v>114</v>
      </c>
      <c r="D51" t="s">
        <v>28</v>
      </c>
      <c r="E51" s="1">
        <v>45534</v>
      </c>
      <c r="F51">
        <v>6.8</v>
      </c>
      <c r="G51">
        <v>1100</v>
      </c>
      <c r="H51">
        <v>6.3</v>
      </c>
      <c r="I51">
        <v>14</v>
      </c>
      <c r="J51">
        <v>14</v>
      </c>
      <c r="K51">
        <v>50</v>
      </c>
    </row>
    <row r="52" spans="1:11" x14ac:dyDescent="0.3">
      <c r="A52" t="s">
        <v>116</v>
      </c>
      <c r="B52" t="s">
        <v>117</v>
      </c>
      <c r="C52">
        <v>121</v>
      </c>
      <c r="D52" t="s">
        <v>28</v>
      </c>
      <c r="E52" s="1">
        <v>45372</v>
      </c>
      <c r="F52">
        <v>6.2</v>
      </c>
      <c r="G52">
        <v>166000</v>
      </c>
      <c r="H52">
        <v>6.923</v>
      </c>
      <c r="I52">
        <v>2944</v>
      </c>
      <c r="J52">
        <v>57</v>
      </c>
      <c r="K52">
        <v>50</v>
      </c>
    </row>
    <row r="53" spans="1:11" x14ac:dyDescent="0.3">
      <c r="A53" t="s">
        <v>118</v>
      </c>
      <c r="B53" t="s">
        <v>119</v>
      </c>
      <c r="C53">
        <v>118</v>
      </c>
      <c r="D53" t="s">
        <v>28</v>
      </c>
      <c r="E53" s="1">
        <v>45149</v>
      </c>
      <c r="F53">
        <v>6.1</v>
      </c>
      <c r="G53">
        <v>62000</v>
      </c>
      <c r="H53">
        <v>6.7510000000000003</v>
      </c>
      <c r="I53">
        <v>1903</v>
      </c>
      <c r="J53">
        <v>52</v>
      </c>
      <c r="K53">
        <v>50</v>
      </c>
    </row>
    <row r="54" spans="1:11" x14ac:dyDescent="0.3">
      <c r="A54" t="s">
        <v>120</v>
      </c>
      <c r="B54" t="s">
        <v>121</v>
      </c>
      <c r="C54">
        <v>93</v>
      </c>
      <c r="D54" t="s">
        <v>18</v>
      </c>
      <c r="E54" s="1">
        <v>45469</v>
      </c>
      <c r="F54">
        <v>4.7</v>
      </c>
      <c r="G54">
        <v>11000</v>
      </c>
      <c r="H54">
        <v>5.7729999999999997</v>
      </c>
      <c r="I54">
        <v>465</v>
      </c>
      <c r="J54">
        <v>27</v>
      </c>
      <c r="K54">
        <v>47</v>
      </c>
    </row>
    <row r="55" spans="1:11" x14ac:dyDescent="0.3">
      <c r="A55" t="s">
        <v>122</v>
      </c>
      <c r="B55" t="s">
        <v>123</v>
      </c>
      <c r="C55">
        <v>114</v>
      </c>
      <c r="D55" t="s">
        <v>28</v>
      </c>
      <c r="E55" s="1">
        <v>45568</v>
      </c>
      <c r="F55">
        <v>5.6</v>
      </c>
      <c r="G55">
        <v>33000</v>
      </c>
      <c r="H55">
        <v>6.01</v>
      </c>
      <c r="I55">
        <v>672</v>
      </c>
      <c r="J55">
        <v>47</v>
      </c>
      <c r="K55">
        <v>46</v>
      </c>
    </row>
    <row r="56" spans="1:11" x14ac:dyDescent="0.3">
      <c r="A56" t="s">
        <v>124</v>
      </c>
      <c r="B56" t="s">
        <v>125</v>
      </c>
      <c r="C56">
        <v>103</v>
      </c>
      <c r="D56" t="s">
        <v>28</v>
      </c>
      <c r="E56" s="1">
        <v>44652</v>
      </c>
      <c r="F56">
        <v>5.8</v>
      </c>
      <c r="G56">
        <v>32000</v>
      </c>
      <c r="H56">
        <v>6.3579999999999997</v>
      </c>
      <c r="I56">
        <v>1040</v>
      </c>
      <c r="J56">
        <v>52</v>
      </c>
      <c r="K56">
        <v>45</v>
      </c>
    </row>
    <row r="57" spans="1:11" x14ac:dyDescent="0.3">
      <c r="A57" t="s">
        <v>126</v>
      </c>
      <c r="B57" t="s">
        <v>127</v>
      </c>
      <c r="C57">
        <v>129</v>
      </c>
      <c r="D57" t="s">
        <v>15</v>
      </c>
      <c r="E57" s="1">
        <v>45044</v>
      </c>
      <c r="F57">
        <v>6.6</v>
      </c>
      <c r="G57">
        <v>11000</v>
      </c>
      <c r="H57">
        <v>7.5629999999999997</v>
      </c>
      <c r="I57">
        <v>341</v>
      </c>
      <c r="J57">
        <v>45</v>
      </c>
      <c r="K57">
        <v>42</v>
      </c>
    </row>
    <row r="58" spans="1:11" x14ac:dyDescent="0.3">
      <c r="A58" t="s">
        <v>128</v>
      </c>
      <c r="B58" t="s">
        <v>129</v>
      </c>
      <c r="C58">
        <v>116</v>
      </c>
      <c r="D58" t="s">
        <v>15</v>
      </c>
      <c r="E58" s="1">
        <v>44610</v>
      </c>
      <c r="F58">
        <v>6.3</v>
      </c>
      <c r="G58">
        <v>280000</v>
      </c>
      <c r="H58">
        <v>6.8680000000000003</v>
      </c>
      <c r="I58">
        <v>6703</v>
      </c>
      <c r="J58">
        <v>45</v>
      </c>
      <c r="K58">
        <v>41</v>
      </c>
    </row>
    <row r="59" spans="1:11" x14ac:dyDescent="0.3">
      <c r="A59" t="s">
        <v>130</v>
      </c>
      <c r="B59" t="s">
        <v>131</v>
      </c>
      <c r="C59">
        <v>109</v>
      </c>
      <c r="D59" t="s">
        <v>12</v>
      </c>
      <c r="E59" s="1">
        <v>45737</v>
      </c>
      <c r="F59">
        <v>1.6</v>
      </c>
      <c r="G59">
        <v>152000</v>
      </c>
      <c r="H59">
        <v>4.3</v>
      </c>
      <c r="I59">
        <v>1601</v>
      </c>
      <c r="J59">
        <v>50</v>
      </c>
      <c r="K59">
        <v>39</v>
      </c>
    </row>
    <row r="60" spans="1:11" x14ac:dyDescent="0.3">
      <c r="A60" t="s">
        <v>132</v>
      </c>
      <c r="B60" t="s">
        <v>133</v>
      </c>
      <c r="C60">
        <v>106</v>
      </c>
      <c r="D60" t="s">
        <v>15</v>
      </c>
      <c r="E60" s="1">
        <v>45736</v>
      </c>
      <c r="F60">
        <v>5</v>
      </c>
      <c r="G60">
        <v>1000</v>
      </c>
      <c r="H60">
        <v>5.85</v>
      </c>
      <c r="I60">
        <v>100</v>
      </c>
      <c r="J60">
        <v>41</v>
      </c>
      <c r="K60">
        <v>38</v>
      </c>
    </row>
    <row r="61" spans="1:11" x14ac:dyDescent="0.3">
      <c r="A61" t="s">
        <v>134</v>
      </c>
      <c r="B61" t="s">
        <v>135</v>
      </c>
      <c r="C61">
        <v>119</v>
      </c>
      <c r="D61" t="s">
        <v>12</v>
      </c>
      <c r="E61" s="1">
        <v>44883</v>
      </c>
      <c r="F61">
        <v>5.6</v>
      </c>
      <c r="G61">
        <v>28000</v>
      </c>
      <c r="H61">
        <v>6.6909999999999998</v>
      </c>
      <c r="I61">
        <v>1169</v>
      </c>
      <c r="J61">
        <v>50</v>
      </c>
      <c r="K61">
        <v>38</v>
      </c>
    </row>
    <row r="62" spans="1:11" x14ac:dyDescent="0.3">
      <c r="A62" t="s">
        <v>136</v>
      </c>
      <c r="B62" t="s">
        <v>137</v>
      </c>
      <c r="C62">
        <v>93</v>
      </c>
      <c r="D62" t="s">
        <v>28</v>
      </c>
      <c r="E62" s="1">
        <v>45317</v>
      </c>
      <c r="F62">
        <v>5.2</v>
      </c>
      <c r="G62">
        <v>23000</v>
      </c>
      <c r="H62">
        <v>6.3310000000000004</v>
      </c>
      <c r="I62">
        <v>928</v>
      </c>
      <c r="J62">
        <v>41</v>
      </c>
      <c r="K62">
        <v>30</v>
      </c>
    </row>
    <row r="63" spans="1:11" x14ac:dyDescent="0.3">
      <c r="A63" t="s">
        <v>138</v>
      </c>
      <c r="B63" t="s">
        <v>139</v>
      </c>
      <c r="C63">
        <v>116</v>
      </c>
      <c r="D63" t="s">
        <v>15</v>
      </c>
      <c r="E63" s="1">
        <v>45037</v>
      </c>
      <c r="F63">
        <v>5.8</v>
      </c>
      <c r="G63">
        <v>72000</v>
      </c>
      <c r="H63">
        <v>6.8840000000000003</v>
      </c>
      <c r="I63">
        <v>2154</v>
      </c>
      <c r="J63">
        <v>34</v>
      </c>
      <c r="K63">
        <v>25</v>
      </c>
    </row>
    <row r="64" spans="1:11" x14ac:dyDescent="0.3">
      <c r="A64" t="s">
        <v>140</v>
      </c>
      <c r="B64" t="s">
        <v>141</v>
      </c>
      <c r="C64">
        <v>94</v>
      </c>
      <c r="D64" t="s">
        <v>15</v>
      </c>
      <c r="E64" s="1">
        <v>44785</v>
      </c>
      <c r="F64">
        <v>4.8</v>
      </c>
      <c r="G64">
        <v>2400</v>
      </c>
      <c r="H64">
        <v>5.4</v>
      </c>
      <c r="I64">
        <v>72</v>
      </c>
      <c r="J64">
        <v>49</v>
      </c>
      <c r="K64">
        <v>24</v>
      </c>
    </row>
    <row r="65" spans="1:11" x14ac:dyDescent="0.3">
      <c r="A65" t="s">
        <v>142</v>
      </c>
      <c r="B65" t="s">
        <v>143</v>
      </c>
      <c r="C65">
        <v>98</v>
      </c>
      <c r="D65" t="s">
        <v>28</v>
      </c>
      <c r="E65" s="1">
        <v>45058</v>
      </c>
      <c r="F65">
        <v>4.7</v>
      </c>
      <c r="G65">
        <v>7000</v>
      </c>
      <c r="H65">
        <v>4.5999999999999996</v>
      </c>
      <c r="I65">
        <v>102</v>
      </c>
      <c r="J65">
        <v>27</v>
      </c>
      <c r="K65">
        <v>22</v>
      </c>
    </row>
    <row r="66" spans="1:11" x14ac:dyDescent="0.3">
      <c r="A66" t="s">
        <v>144</v>
      </c>
      <c r="B66" t="s">
        <v>145</v>
      </c>
      <c r="C66">
        <v>114</v>
      </c>
      <c r="D66" t="s">
        <v>15</v>
      </c>
      <c r="E66" s="1">
        <v>44806</v>
      </c>
      <c r="F66">
        <v>6.7</v>
      </c>
      <c r="G66">
        <v>2300</v>
      </c>
      <c r="H66">
        <v>7.5</v>
      </c>
      <c r="I66">
        <v>138</v>
      </c>
      <c r="J66">
        <v>45</v>
      </c>
      <c r="K66">
        <v>19</v>
      </c>
    </row>
    <row r="67" spans="1:11" x14ac:dyDescent="0.3">
      <c r="A67" t="s">
        <v>146</v>
      </c>
      <c r="B67" t="s">
        <v>147</v>
      </c>
      <c r="C67">
        <v>141</v>
      </c>
      <c r="D67" t="s">
        <v>15</v>
      </c>
      <c r="E67" s="1">
        <v>45534</v>
      </c>
      <c r="F67">
        <v>6.2</v>
      </c>
      <c r="G67">
        <v>11000</v>
      </c>
      <c r="H67">
        <v>6.3</v>
      </c>
      <c r="I67">
        <v>110</v>
      </c>
      <c r="J67">
        <v>22</v>
      </c>
      <c r="K67">
        <v>18</v>
      </c>
    </row>
    <row r="68" spans="1:11" x14ac:dyDescent="0.3">
      <c r="A68" t="s">
        <v>148</v>
      </c>
      <c r="B68" t="s">
        <v>149</v>
      </c>
      <c r="C68">
        <v>122</v>
      </c>
      <c r="D68" t="s">
        <v>15</v>
      </c>
      <c r="E68" s="1">
        <v>45401</v>
      </c>
      <c r="F68">
        <v>5.3</v>
      </c>
      <c r="G68">
        <v>59000</v>
      </c>
      <c r="H68">
        <v>6.1</v>
      </c>
      <c r="I68">
        <v>1442</v>
      </c>
      <c r="J68">
        <v>35</v>
      </c>
      <c r="K68">
        <v>16</v>
      </c>
    </row>
    <row r="69" spans="1:11" x14ac:dyDescent="0.3">
      <c r="A69" t="s">
        <v>150</v>
      </c>
      <c r="B69" t="s">
        <v>151</v>
      </c>
      <c r="C69">
        <v>101</v>
      </c>
      <c r="D69" t="s">
        <v>28</v>
      </c>
      <c r="E69" s="1">
        <v>45736</v>
      </c>
      <c r="F69">
        <v>6.6</v>
      </c>
      <c r="G69">
        <v>511</v>
      </c>
      <c r="H69">
        <v>6</v>
      </c>
      <c r="I69">
        <v>18</v>
      </c>
      <c r="J69">
        <v>73</v>
      </c>
      <c r="K69">
        <v>100</v>
      </c>
    </row>
    <row r="70" spans="1:11" x14ac:dyDescent="0.3">
      <c r="A70" t="s">
        <v>152</v>
      </c>
      <c r="B70" t="s">
        <v>153</v>
      </c>
      <c r="C70">
        <v>82</v>
      </c>
      <c r="D70" t="s">
        <v>12</v>
      </c>
      <c r="E70" s="1">
        <v>45660</v>
      </c>
      <c r="F70">
        <v>7.5</v>
      </c>
      <c r="G70">
        <v>33000</v>
      </c>
      <c r="H70">
        <v>7.4619999999999997</v>
      </c>
      <c r="I70">
        <v>632</v>
      </c>
      <c r="J70">
        <v>83</v>
      </c>
      <c r="K70">
        <v>100</v>
      </c>
    </row>
    <row r="71" spans="1:11" x14ac:dyDescent="0.3">
      <c r="A71" t="s">
        <v>154</v>
      </c>
      <c r="B71" t="s">
        <v>155</v>
      </c>
      <c r="C71">
        <v>107</v>
      </c>
      <c r="D71" t="s">
        <v>28</v>
      </c>
      <c r="E71" s="1">
        <v>45635</v>
      </c>
      <c r="F71">
        <v>7</v>
      </c>
      <c r="G71">
        <v>3100</v>
      </c>
      <c r="H71">
        <v>6.9</v>
      </c>
      <c r="I71">
        <v>54</v>
      </c>
      <c r="J71">
        <v>90</v>
      </c>
      <c r="K71">
        <v>100</v>
      </c>
    </row>
    <row r="72" spans="1:11" x14ac:dyDescent="0.3">
      <c r="A72" t="s">
        <v>156</v>
      </c>
      <c r="B72" t="s">
        <v>157</v>
      </c>
      <c r="C72">
        <v>99</v>
      </c>
      <c r="D72" t="s">
        <v>15</v>
      </c>
      <c r="E72" s="1">
        <v>45632</v>
      </c>
      <c r="F72">
        <v>7.2</v>
      </c>
      <c r="G72">
        <v>721</v>
      </c>
      <c r="H72">
        <v>7.5590000000000002</v>
      </c>
      <c r="I72">
        <v>34</v>
      </c>
      <c r="J72">
        <v>87</v>
      </c>
      <c r="K72">
        <v>100</v>
      </c>
    </row>
    <row r="73" spans="1:11" x14ac:dyDescent="0.3">
      <c r="A73" t="s">
        <v>158</v>
      </c>
      <c r="B73" t="s">
        <v>159</v>
      </c>
      <c r="C73">
        <v>102</v>
      </c>
      <c r="D73" t="s">
        <v>160</v>
      </c>
      <c r="E73" s="1">
        <v>45618</v>
      </c>
      <c r="F73">
        <v>7.4</v>
      </c>
      <c r="G73">
        <v>2600</v>
      </c>
      <c r="H73">
        <v>7.8</v>
      </c>
      <c r="I73">
        <v>81</v>
      </c>
      <c r="J73">
        <v>73</v>
      </c>
      <c r="K73">
        <v>100</v>
      </c>
    </row>
    <row r="74" spans="1:11" x14ac:dyDescent="0.3">
      <c r="A74" t="s">
        <v>161</v>
      </c>
      <c r="B74" t="s">
        <v>162</v>
      </c>
      <c r="C74">
        <v>58</v>
      </c>
      <c r="D74" t="s">
        <v>163</v>
      </c>
      <c r="E74" s="1">
        <v>45603</v>
      </c>
      <c r="F74">
        <v>7.8</v>
      </c>
      <c r="G74">
        <v>14000</v>
      </c>
      <c r="H74">
        <v>8.0619999999999994</v>
      </c>
      <c r="I74">
        <v>518</v>
      </c>
      <c r="J74">
        <v>90</v>
      </c>
      <c r="K74">
        <v>100</v>
      </c>
    </row>
    <row r="75" spans="1:11" x14ac:dyDescent="0.3">
      <c r="A75" t="s">
        <v>164</v>
      </c>
      <c r="B75" t="s">
        <v>165</v>
      </c>
      <c r="C75">
        <v>118</v>
      </c>
      <c r="D75" t="s">
        <v>25</v>
      </c>
      <c r="E75" s="1">
        <v>45567</v>
      </c>
      <c r="F75">
        <v>7.1</v>
      </c>
      <c r="G75">
        <v>9100</v>
      </c>
      <c r="H75">
        <v>6.83</v>
      </c>
      <c r="I75">
        <v>227</v>
      </c>
      <c r="J75">
        <v>93</v>
      </c>
      <c r="K75">
        <v>100</v>
      </c>
    </row>
    <row r="76" spans="1:11" x14ac:dyDescent="0.3">
      <c r="A76" t="s">
        <v>166</v>
      </c>
      <c r="B76" t="s">
        <v>167</v>
      </c>
      <c r="C76">
        <v>128</v>
      </c>
      <c r="D76" t="s">
        <v>28</v>
      </c>
      <c r="E76" s="1">
        <v>45490</v>
      </c>
      <c r="F76">
        <v>7</v>
      </c>
      <c r="G76">
        <v>1500</v>
      </c>
      <c r="H76">
        <v>7.0490000000000004</v>
      </c>
      <c r="I76">
        <v>81</v>
      </c>
      <c r="J76">
        <v>75</v>
      </c>
      <c r="K76">
        <v>100</v>
      </c>
    </row>
    <row r="77" spans="1:11" x14ac:dyDescent="0.3">
      <c r="A77" t="s">
        <v>168</v>
      </c>
      <c r="B77" t="s">
        <v>169</v>
      </c>
      <c r="C77">
        <v>103</v>
      </c>
      <c r="D77" t="s">
        <v>12</v>
      </c>
      <c r="E77" s="1">
        <v>45468</v>
      </c>
      <c r="F77">
        <v>7.7</v>
      </c>
      <c r="G77">
        <v>7800</v>
      </c>
      <c r="H77">
        <v>7.6619999999999999</v>
      </c>
      <c r="I77">
        <v>157</v>
      </c>
      <c r="J77">
        <v>76</v>
      </c>
      <c r="K77">
        <v>100</v>
      </c>
    </row>
    <row r="78" spans="1:11" x14ac:dyDescent="0.3">
      <c r="A78" t="s">
        <v>170</v>
      </c>
      <c r="B78" t="s">
        <v>171</v>
      </c>
      <c r="C78">
        <v>88</v>
      </c>
      <c r="D78" t="s">
        <v>18</v>
      </c>
      <c r="E78" s="1">
        <v>45415</v>
      </c>
      <c r="F78">
        <v>7.5</v>
      </c>
      <c r="G78">
        <v>11000</v>
      </c>
      <c r="H78">
        <v>7.4610000000000003</v>
      </c>
      <c r="I78">
        <v>519</v>
      </c>
      <c r="J78">
        <v>76</v>
      </c>
      <c r="K78">
        <v>100</v>
      </c>
    </row>
    <row r="79" spans="1:11" x14ac:dyDescent="0.3">
      <c r="A79" t="s">
        <v>172</v>
      </c>
      <c r="B79" t="s">
        <v>173</v>
      </c>
      <c r="C79">
        <v>118</v>
      </c>
      <c r="D79" t="s">
        <v>28</v>
      </c>
      <c r="E79" s="1">
        <v>45303</v>
      </c>
      <c r="F79">
        <v>7.5</v>
      </c>
      <c r="G79">
        <v>667</v>
      </c>
      <c r="H79">
        <v>3.9</v>
      </c>
      <c r="I79">
        <v>7</v>
      </c>
      <c r="J79">
        <v>83</v>
      </c>
      <c r="K79">
        <v>100</v>
      </c>
    </row>
    <row r="80" spans="1:11" x14ac:dyDescent="0.3">
      <c r="A80" t="s">
        <v>174</v>
      </c>
      <c r="B80" t="s">
        <v>175</v>
      </c>
      <c r="C80">
        <v>100</v>
      </c>
      <c r="D80" t="s">
        <v>28</v>
      </c>
      <c r="E80" s="1">
        <v>45303</v>
      </c>
      <c r="F80">
        <v>5.5</v>
      </c>
      <c r="G80">
        <v>19000</v>
      </c>
      <c r="H80">
        <v>5.9660000000000002</v>
      </c>
      <c r="I80">
        <v>624</v>
      </c>
      <c r="J80">
        <v>38</v>
      </c>
      <c r="K80">
        <v>100</v>
      </c>
    </row>
    <row r="81" spans="1:11" x14ac:dyDescent="0.3">
      <c r="A81" t="s">
        <v>176</v>
      </c>
      <c r="B81" t="s">
        <v>177</v>
      </c>
      <c r="C81">
        <v>115</v>
      </c>
      <c r="D81" t="s">
        <v>15</v>
      </c>
      <c r="E81" s="1">
        <v>45258</v>
      </c>
      <c r="F81">
        <v>7.9</v>
      </c>
      <c r="G81">
        <v>4500</v>
      </c>
      <c r="H81">
        <v>7.8</v>
      </c>
      <c r="I81">
        <v>62</v>
      </c>
      <c r="J81">
        <v>85</v>
      </c>
      <c r="K81">
        <v>100</v>
      </c>
    </row>
    <row r="82" spans="1:11" x14ac:dyDescent="0.3">
      <c r="A82" t="s">
        <v>178</v>
      </c>
      <c r="B82" t="s">
        <v>179</v>
      </c>
      <c r="C82">
        <v>113</v>
      </c>
      <c r="D82" t="s">
        <v>15</v>
      </c>
      <c r="E82" s="1">
        <v>45205</v>
      </c>
      <c r="F82">
        <v>7.1</v>
      </c>
      <c r="G82">
        <v>1900</v>
      </c>
      <c r="H82">
        <v>6.7</v>
      </c>
      <c r="I82">
        <v>31</v>
      </c>
      <c r="J82">
        <v>72</v>
      </c>
      <c r="K82">
        <v>100</v>
      </c>
    </row>
    <row r="83" spans="1:11" x14ac:dyDescent="0.3">
      <c r="A83" t="s">
        <v>180</v>
      </c>
      <c r="B83" t="s">
        <v>181</v>
      </c>
      <c r="C83">
        <v>124</v>
      </c>
      <c r="D83" t="s">
        <v>15</v>
      </c>
      <c r="E83" s="1">
        <v>45135</v>
      </c>
      <c r="F83">
        <v>8.1</v>
      </c>
      <c r="G83">
        <v>11000</v>
      </c>
      <c r="H83">
        <v>7.7850000000000001</v>
      </c>
      <c r="I83">
        <v>521</v>
      </c>
      <c r="J83">
        <v>79</v>
      </c>
      <c r="K83">
        <v>100</v>
      </c>
    </row>
    <row r="84" spans="1:11" x14ac:dyDescent="0.3">
      <c r="A84" t="s">
        <v>182</v>
      </c>
      <c r="B84" t="s">
        <v>183</v>
      </c>
      <c r="C84">
        <v>80</v>
      </c>
      <c r="D84" t="s">
        <v>18</v>
      </c>
      <c r="E84" s="1">
        <v>44909</v>
      </c>
      <c r="F84">
        <v>7</v>
      </c>
      <c r="G84">
        <v>926</v>
      </c>
      <c r="H84">
        <v>7.2</v>
      </c>
      <c r="I84">
        <v>43</v>
      </c>
      <c r="J84">
        <v>78</v>
      </c>
      <c r="K84">
        <v>100</v>
      </c>
    </row>
    <row r="85" spans="1:11" x14ac:dyDescent="0.3">
      <c r="A85" t="s">
        <v>184</v>
      </c>
      <c r="B85" t="s">
        <v>185</v>
      </c>
      <c r="C85">
        <v>83</v>
      </c>
      <c r="D85" t="s">
        <v>15</v>
      </c>
      <c r="E85" s="1">
        <v>44841</v>
      </c>
      <c r="F85">
        <v>7.1</v>
      </c>
      <c r="G85">
        <v>477</v>
      </c>
      <c r="H85">
        <v>7.3</v>
      </c>
      <c r="I85">
        <v>13</v>
      </c>
      <c r="J85">
        <v>73</v>
      </c>
      <c r="K85">
        <v>100</v>
      </c>
    </row>
    <row r="86" spans="1:11" x14ac:dyDescent="0.3">
      <c r="A86" t="s">
        <v>186</v>
      </c>
      <c r="B86" t="s">
        <v>187</v>
      </c>
      <c r="C86">
        <v>129</v>
      </c>
      <c r="D86" t="s">
        <v>18</v>
      </c>
      <c r="E86" s="1">
        <v>44715</v>
      </c>
      <c r="F86">
        <v>7.8</v>
      </c>
      <c r="G86">
        <v>35000</v>
      </c>
      <c r="H86">
        <v>7.4889999999999999</v>
      </c>
      <c r="I86">
        <v>502</v>
      </c>
      <c r="J86">
        <v>81</v>
      </c>
      <c r="K86">
        <v>100</v>
      </c>
    </row>
    <row r="87" spans="1:11" x14ac:dyDescent="0.3">
      <c r="A87" t="s">
        <v>188</v>
      </c>
      <c r="B87" t="s">
        <v>189</v>
      </c>
      <c r="C87">
        <v>115</v>
      </c>
      <c r="D87" t="s">
        <v>28</v>
      </c>
      <c r="E87" s="1">
        <v>45457</v>
      </c>
      <c r="F87">
        <v>7.6</v>
      </c>
      <c r="G87">
        <v>5600</v>
      </c>
      <c r="H87">
        <v>7.1</v>
      </c>
      <c r="I87">
        <v>97</v>
      </c>
      <c r="J87">
        <v>83</v>
      </c>
      <c r="K87">
        <v>99</v>
      </c>
    </row>
    <row r="88" spans="1:11" x14ac:dyDescent="0.3">
      <c r="A88" t="s">
        <v>190</v>
      </c>
      <c r="B88" t="s">
        <v>191</v>
      </c>
      <c r="C88">
        <v>124</v>
      </c>
      <c r="D88" t="s">
        <v>15</v>
      </c>
      <c r="E88" s="1">
        <v>45261</v>
      </c>
      <c r="F88">
        <v>7.7</v>
      </c>
      <c r="G88">
        <v>168000</v>
      </c>
      <c r="H88">
        <v>7.5730000000000004</v>
      </c>
      <c r="I88">
        <v>3082</v>
      </c>
      <c r="J88">
        <v>81</v>
      </c>
      <c r="K88">
        <v>99</v>
      </c>
    </row>
    <row r="89" spans="1:11" x14ac:dyDescent="0.3">
      <c r="A89" t="s">
        <v>192</v>
      </c>
      <c r="B89" t="s">
        <v>193</v>
      </c>
      <c r="C89">
        <v>73</v>
      </c>
      <c r="D89" t="s">
        <v>28</v>
      </c>
      <c r="E89" s="1">
        <v>45135</v>
      </c>
      <c r="F89">
        <v>7.1</v>
      </c>
      <c r="G89">
        <v>1400</v>
      </c>
      <c r="H89">
        <v>6.7</v>
      </c>
      <c r="I89">
        <v>21</v>
      </c>
      <c r="J89">
        <v>79</v>
      </c>
      <c r="K89">
        <v>99</v>
      </c>
    </row>
    <row r="90" spans="1:11" x14ac:dyDescent="0.3">
      <c r="A90" t="s">
        <v>194</v>
      </c>
      <c r="B90" t="s">
        <v>195</v>
      </c>
      <c r="C90">
        <v>106</v>
      </c>
      <c r="D90" t="s">
        <v>15</v>
      </c>
      <c r="E90" s="1">
        <v>45044</v>
      </c>
      <c r="F90">
        <v>7.3</v>
      </c>
      <c r="G90">
        <v>33000</v>
      </c>
      <c r="H90">
        <v>7.157</v>
      </c>
      <c r="I90">
        <v>492</v>
      </c>
      <c r="J90">
        <v>84</v>
      </c>
      <c r="K90">
        <v>99</v>
      </c>
    </row>
    <row r="91" spans="1:11" x14ac:dyDescent="0.3">
      <c r="A91" t="s">
        <v>196</v>
      </c>
      <c r="B91" t="s">
        <v>197</v>
      </c>
      <c r="C91">
        <v>97</v>
      </c>
      <c r="D91" t="s">
        <v>18</v>
      </c>
      <c r="E91" s="1">
        <v>44964</v>
      </c>
      <c r="F91">
        <v>7</v>
      </c>
      <c r="G91">
        <v>5200</v>
      </c>
      <c r="H91">
        <v>6.9</v>
      </c>
      <c r="I91">
        <v>81</v>
      </c>
      <c r="J91">
        <v>87</v>
      </c>
      <c r="K91">
        <v>99</v>
      </c>
    </row>
    <row r="92" spans="1:11" x14ac:dyDescent="0.3">
      <c r="A92" t="s">
        <v>198</v>
      </c>
      <c r="B92" t="s">
        <v>199</v>
      </c>
      <c r="C92">
        <v>89</v>
      </c>
      <c r="D92" t="s">
        <v>28</v>
      </c>
      <c r="E92" s="1">
        <v>45609</v>
      </c>
      <c r="F92">
        <v>6.7</v>
      </c>
      <c r="G92">
        <v>2400</v>
      </c>
      <c r="H92">
        <v>6.5</v>
      </c>
      <c r="I92">
        <v>63</v>
      </c>
      <c r="J92">
        <v>87</v>
      </c>
      <c r="K92">
        <v>98</v>
      </c>
    </row>
    <row r="93" spans="1:11" x14ac:dyDescent="0.3">
      <c r="A93" t="s">
        <v>200</v>
      </c>
      <c r="B93" t="s">
        <v>201</v>
      </c>
      <c r="C93">
        <v>125</v>
      </c>
      <c r="D93" t="s">
        <v>160</v>
      </c>
      <c r="E93" s="1">
        <v>45548</v>
      </c>
      <c r="F93">
        <v>8</v>
      </c>
      <c r="G93">
        <v>13000</v>
      </c>
      <c r="H93">
        <v>8.1199999999999992</v>
      </c>
      <c r="I93">
        <v>384</v>
      </c>
      <c r="J93">
        <v>74</v>
      </c>
      <c r="K93">
        <v>98</v>
      </c>
    </row>
    <row r="94" spans="1:11" x14ac:dyDescent="0.3">
      <c r="A94" t="s">
        <v>202</v>
      </c>
      <c r="B94" t="s">
        <v>203</v>
      </c>
      <c r="C94">
        <v>98</v>
      </c>
      <c r="D94" t="s">
        <v>15</v>
      </c>
      <c r="E94" s="1">
        <v>45464</v>
      </c>
      <c r="F94">
        <v>7</v>
      </c>
      <c r="G94">
        <v>22000</v>
      </c>
      <c r="H94">
        <v>6.8540000000000001</v>
      </c>
      <c r="I94">
        <v>391</v>
      </c>
      <c r="J94">
        <v>77</v>
      </c>
      <c r="K94">
        <v>98</v>
      </c>
    </row>
    <row r="95" spans="1:11" x14ac:dyDescent="0.3">
      <c r="A95" t="s">
        <v>204</v>
      </c>
      <c r="B95" t="s">
        <v>205</v>
      </c>
      <c r="C95">
        <v>103</v>
      </c>
      <c r="D95" t="s">
        <v>15</v>
      </c>
      <c r="E95" s="1">
        <v>45450</v>
      </c>
      <c r="F95">
        <v>7.6</v>
      </c>
      <c r="G95">
        <v>21000</v>
      </c>
      <c r="H95">
        <v>8</v>
      </c>
      <c r="I95">
        <v>775</v>
      </c>
      <c r="J95">
        <v>87</v>
      </c>
      <c r="K95">
        <v>98</v>
      </c>
    </row>
    <row r="96" spans="1:11" x14ac:dyDescent="0.3">
      <c r="A96" t="s">
        <v>206</v>
      </c>
      <c r="B96" t="s">
        <v>207</v>
      </c>
      <c r="C96">
        <v>169</v>
      </c>
      <c r="D96" t="s">
        <v>18</v>
      </c>
      <c r="E96" s="1">
        <v>45261</v>
      </c>
      <c r="F96">
        <v>8.6</v>
      </c>
      <c r="G96">
        <v>3700</v>
      </c>
      <c r="H96">
        <v>8.1999999999999993</v>
      </c>
      <c r="I96">
        <v>36</v>
      </c>
      <c r="J96">
        <v>86</v>
      </c>
      <c r="K96">
        <v>98</v>
      </c>
    </row>
    <row r="97" spans="1:11" x14ac:dyDescent="0.3">
      <c r="A97" t="s">
        <v>208</v>
      </c>
      <c r="B97" t="s">
        <v>209</v>
      </c>
      <c r="C97">
        <v>92</v>
      </c>
      <c r="D97" t="s">
        <v>28</v>
      </c>
      <c r="E97" s="1">
        <v>45156</v>
      </c>
      <c r="F97">
        <v>6.6</v>
      </c>
      <c r="G97">
        <v>1000</v>
      </c>
      <c r="H97">
        <v>6</v>
      </c>
      <c r="I97">
        <v>13</v>
      </c>
      <c r="J97">
        <v>77</v>
      </c>
      <c r="K97">
        <v>98</v>
      </c>
    </row>
    <row r="98" spans="1:11" x14ac:dyDescent="0.3">
      <c r="A98" t="s">
        <v>210</v>
      </c>
      <c r="B98" t="s">
        <v>211</v>
      </c>
      <c r="C98">
        <v>117</v>
      </c>
      <c r="D98" t="s">
        <v>15</v>
      </c>
      <c r="E98" s="1">
        <v>45106</v>
      </c>
      <c r="F98">
        <v>7.7</v>
      </c>
      <c r="G98">
        <v>1300</v>
      </c>
      <c r="H98">
        <v>8</v>
      </c>
      <c r="I98">
        <v>12</v>
      </c>
      <c r="J98">
        <v>73</v>
      </c>
      <c r="K98">
        <v>98</v>
      </c>
    </row>
    <row r="99" spans="1:11" x14ac:dyDescent="0.3">
      <c r="A99" t="s">
        <v>212</v>
      </c>
      <c r="B99" t="s">
        <v>213</v>
      </c>
      <c r="C99">
        <v>98</v>
      </c>
      <c r="D99" t="s">
        <v>12</v>
      </c>
      <c r="E99" s="1">
        <v>44876</v>
      </c>
      <c r="F99">
        <v>7.6</v>
      </c>
      <c r="G99">
        <v>16000</v>
      </c>
      <c r="H99">
        <v>7.5549999999999997</v>
      </c>
      <c r="I99">
        <v>246</v>
      </c>
      <c r="J99">
        <v>84</v>
      </c>
      <c r="K99">
        <v>98</v>
      </c>
    </row>
    <row r="100" spans="1:11" x14ac:dyDescent="0.3">
      <c r="A100" t="s">
        <v>214</v>
      </c>
      <c r="B100" t="s">
        <v>215</v>
      </c>
      <c r="C100">
        <v>79</v>
      </c>
      <c r="D100" t="s">
        <v>160</v>
      </c>
      <c r="E100" s="1">
        <v>44826</v>
      </c>
      <c r="F100">
        <v>7.8</v>
      </c>
      <c r="G100">
        <v>1700</v>
      </c>
      <c r="H100">
        <v>6.8</v>
      </c>
      <c r="I100">
        <v>20</v>
      </c>
      <c r="J100">
        <v>75</v>
      </c>
      <c r="K100">
        <v>98</v>
      </c>
    </row>
    <row r="101" spans="1:11" x14ac:dyDescent="0.3">
      <c r="A101" t="s">
        <v>216</v>
      </c>
      <c r="B101" t="s">
        <v>217</v>
      </c>
      <c r="C101">
        <v>90</v>
      </c>
      <c r="D101" t="s">
        <v>12</v>
      </c>
      <c r="E101" s="1">
        <v>44757</v>
      </c>
      <c r="F101">
        <v>7.6</v>
      </c>
      <c r="G101">
        <v>31000</v>
      </c>
      <c r="H101">
        <v>7.6429999999999998</v>
      </c>
      <c r="I101">
        <v>684</v>
      </c>
      <c r="J101">
        <v>80</v>
      </c>
      <c r="K101">
        <v>98</v>
      </c>
    </row>
    <row r="102" spans="1:11" x14ac:dyDescent="0.3">
      <c r="A102" t="s">
        <v>218</v>
      </c>
      <c r="B102" t="s">
        <v>219</v>
      </c>
      <c r="C102">
        <v>112</v>
      </c>
      <c r="D102" t="s">
        <v>15</v>
      </c>
      <c r="E102" s="1">
        <v>44638</v>
      </c>
      <c r="F102">
        <v>7.8</v>
      </c>
      <c r="G102">
        <v>48000</v>
      </c>
      <c r="H102">
        <v>8.1110000000000007</v>
      </c>
      <c r="I102">
        <v>1698</v>
      </c>
      <c r="J102">
        <v>71</v>
      </c>
      <c r="K102">
        <v>98</v>
      </c>
    </row>
    <row r="103" spans="1:11" x14ac:dyDescent="0.3">
      <c r="A103" t="s">
        <v>220</v>
      </c>
      <c r="B103" t="s">
        <v>221</v>
      </c>
      <c r="C103">
        <v>167</v>
      </c>
      <c r="D103" t="s">
        <v>15</v>
      </c>
      <c r="E103" s="1">
        <v>45706</v>
      </c>
      <c r="F103">
        <v>7.6</v>
      </c>
      <c r="G103">
        <v>13000</v>
      </c>
      <c r="H103">
        <v>7.5369999999999999</v>
      </c>
      <c r="I103">
        <v>449</v>
      </c>
      <c r="J103">
        <v>84</v>
      </c>
      <c r="K103">
        <v>97</v>
      </c>
    </row>
    <row r="104" spans="1:11" x14ac:dyDescent="0.3">
      <c r="A104" t="s">
        <v>222</v>
      </c>
      <c r="B104" t="s">
        <v>223</v>
      </c>
      <c r="C104">
        <v>85</v>
      </c>
      <c r="D104" t="s">
        <v>12</v>
      </c>
      <c r="E104" s="1">
        <v>45702</v>
      </c>
      <c r="F104">
        <v>7.9</v>
      </c>
      <c r="G104">
        <v>63000</v>
      </c>
      <c r="H104">
        <v>8.0890000000000004</v>
      </c>
      <c r="I104">
        <v>2740</v>
      </c>
      <c r="J104">
        <v>87</v>
      </c>
      <c r="K104">
        <v>97</v>
      </c>
    </row>
    <row r="105" spans="1:11" x14ac:dyDescent="0.3">
      <c r="A105" t="s">
        <v>224</v>
      </c>
      <c r="B105" t="s">
        <v>225</v>
      </c>
      <c r="C105">
        <v>103</v>
      </c>
      <c r="D105" t="s">
        <v>15</v>
      </c>
      <c r="E105" s="1">
        <v>45590</v>
      </c>
      <c r="F105">
        <v>8.1999999999999993</v>
      </c>
      <c r="G105">
        <v>12000</v>
      </c>
      <c r="H105">
        <v>8.0950000000000006</v>
      </c>
      <c r="I105">
        <v>132</v>
      </c>
      <c r="J105">
        <v>78</v>
      </c>
      <c r="K105">
        <v>97</v>
      </c>
    </row>
    <row r="106" spans="1:11" x14ac:dyDescent="0.3">
      <c r="A106" t="s">
        <v>226</v>
      </c>
      <c r="B106" t="s">
        <v>227</v>
      </c>
      <c r="C106">
        <v>85</v>
      </c>
      <c r="D106" t="s">
        <v>12</v>
      </c>
      <c r="E106" s="1">
        <v>45583</v>
      </c>
      <c r="F106">
        <v>6.9</v>
      </c>
      <c r="G106">
        <v>1100</v>
      </c>
      <c r="H106">
        <v>7.2140000000000004</v>
      </c>
      <c r="I106">
        <v>49</v>
      </c>
      <c r="J106">
        <v>68</v>
      </c>
      <c r="K106">
        <v>97</v>
      </c>
    </row>
    <row r="107" spans="1:11" x14ac:dyDescent="0.3">
      <c r="A107" t="s">
        <v>228</v>
      </c>
      <c r="B107" t="s">
        <v>229</v>
      </c>
      <c r="C107">
        <v>102</v>
      </c>
      <c r="D107" t="s">
        <v>12</v>
      </c>
      <c r="E107" s="1">
        <v>45562</v>
      </c>
      <c r="F107">
        <v>8.1999999999999993</v>
      </c>
      <c r="G107">
        <v>154000</v>
      </c>
      <c r="H107">
        <v>8.3070000000000004</v>
      </c>
      <c r="I107">
        <v>5900</v>
      </c>
      <c r="J107">
        <v>85</v>
      </c>
      <c r="K107">
        <v>97</v>
      </c>
    </row>
    <row r="108" spans="1:11" x14ac:dyDescent="0.3">
      <c r="A108" t="s">
        <v>230</v>
      </c>
      <c r="B108" t="s">
        <v>231</v>
      </c>
      <c r="C108">
        <v>101</v>
      </c>
      <c r="D108" t="s">
        <v>28</v>
      </c>
      <c r="E108" s="1">
        <v>45555</v>
      </c>
      <c r="F108">
        <v>7.2</v>
      </c>
      <c r="G108">
        <v>17000</v>
      </c>
      <c r="H108">
        <v>6.8440000000000003</v>
      </c>
      <c r="I108">
        <v>276</v>
      </c>
      <c r="J108">
        <v>84</v>
      </c>
      <c r="K108">
        <v>97</v>
      </c>
    </row>
    <row r="109" spans="1:11" x14ac:dyDescent="0.3">
      <c r="A109" t="s">
        <v>232</v>
      </c>
      <c r="B109" t="s">
        <v>233</v>
      </c>
      <c r="C109">
        <v>107</v>
      </c>
      <c r="D109" t="s">
        <v>28</v>
      </c>
      <c r="E109" s="1">
        <v>45506</v>
      </c>
      <c r="F109">
        <v>7.7</v>
      </c>
      <c r="G109">
        <v>18000</v>
      </c>
      <c r="H109">
        <v>7.43</v>
      </c>
      <c r="I109">
        <v>348</v>
      </c>
      <c r="J109">
        <v>83</v>
      </c>
      <c r="K109">
        <v>97</v>
      </c>
    </row>
    <row r="110" spans="1:11" x14ac:dyDescent="0.3">
      <c r="A110" t="s">
        <v>234</v>
      </c>
      <c r="B110" t="s">
        <v>235</v>
      </c>
      <c r="C110">
        <v>90</v>
      </c>
      <c r="D110" t="s">
        <v>28</v>
      </c>
      <c r="E110" s="1">
        <v>45422</v>
      </c>
      <c r="F110">
        <v>6.9</v>
      </c>
      <c r="G110">
        <v>18000</v>
      </c>
      <c r="H110">
        <v>6.9</v>
      </c>
      <c r="I110">
        <v>337</v>
      </c>
      <c r="J110">
        <v>72</v>
      </c>
      <c r="K110">
        <v>97</v>
      </c>
    </row>
    <row r="111" spans="1:11" x14ac:dyDescent="0.3">
      <c r="A111" t="s">
        <v>236</v>
      </c>
      <c r="B111" t="s">
        <v>237</v>
      </c>
      <c r="C111">
        <v>91</v>
      </c>
      <c r="D111" t="s">
        <v>18</v>
      </c>
      <c r="E111" s="1">
        <v>45387</v>
      </c>
      <c r="F111">
        <v>6.5</v>
      </c>
      <c r="G111">
        <v>20000</v>
      </c>
      <c r="H111">
        <v>6.2439999999999998</v>
      </c>
      <c r="I111">
        <v>483</v>
      </c>
      <c r="J111">
        <v>79</v>
      </c>
      <c r="K111">
        <v>97</v>
      </c>
    </row>
    <row r="112" spans="1:11" x14ac:dyDescent="0.3">
      <c r="A112" t="s">
        <v>238</v>
      </c>
      <c r="B112" t="s">
        <v>239</v>
      </c>
      <c r="C112">
        <v>93</v>
      </c>
      <c r="D112" t="s">
        <v>28</v>
      </c>
      <c r="E112" s="1">
        <v>45373</v>
      </c>
      <c r="F112">
        <v>7</v>
      </c>
      <c r="G112">
        <v>121000</v>
      </c>
      <c r="H112">
        <v>7.1120000000000001</v>
      </c>
      <c r="I112">
        <v>2054</v>
      </c>
      <c r="J112">
        <v>72</v>
      </c>
      <c r="K112">
        <v>97</v>
      </c>
    </row>
    <row r="113" spans="1:11" x14ac:dyDescent="0.3">
      <c r="A113" t="s">
        <v>240</v>
      </c>
      <c r="B113" t="s">
        <v>241</v>
      </c>
      <c r="C113">
        <v>135</v>
      </c>
      <c r="D113" t="s">
        <v>15</v>
      </c>
      <c r="E113" s="1">
        <v>45331</v>
      </c>
      <c r="F113">
        <v>7.4</v>
      </c>
      <c r="G113">
        <v>17000</v>
      </c>
      <c r="H113">
        <v>7.1</v>
      </c>
      <c r="I113">
        <v>378</v>
      </c>
      <c r="J113">
        <v>85</v>
      </c>
      <c r="K113">
        <v>97</v>
      </c>
    </row>
    <row r="114" spans="1:11" x14ac:dyDescent="0.3">
      <c r="A114" t="s">
        <v>242</v>
      </c>
      <c r="B114" t="s">
        <v>243</v>
      </c>
      <c r="C114">
        <v>127</v>
      </c>
      <c r="D114" t="s">
        <v>15</v>
      </c>
      <c r="E114" s="1">
        <v>45252</v>
      </c>
      <c r="F114">
        <v>7.8</v>
      </c>
      <c r="G114">
        <v>34000</v>
      </c>
      <c r="H114">
        <v>7.9210000000000003</v>
      </c>
      <c r="I114">
        <v>855</v>
      </c>
      <c r="J114">
        <v>79</v>
      </c>
      <c r="K114">
        <v>97</v>
      </c>
    </row>
    <row r="115" spans="1:11" x14ac:dyDescent="0.3">
      <c r="A115" t="s">
        <v>244</v>
      </c>
      <c r="B115" t="s">
        <v>245</v>
      </c>
      <c r="C115">
        <v>120</v>
      </c>
      <c r="D115" t="s">
        <v>28</v>
      </c>
      <c r="E115" s="1">
        <v>45243</v>
      </c>
      <c r="F115">
        <v>7.3</v>
      </c>
      <c r="G115">
        <v>55000</v>
      </c>
      <c r="H115">
        <v>7.1440000000000001</v>
      </c>
      <c r="I115">
        <v>852</v>
      </c>
      <c r="J115">
        <v>78</v>
      </c>
      <c r="K115">
        <v>97</v>
      </c>
    </row>
    <row r="116" spans="1:11" x14ac:dyDescent="0.3">
      <c r="A116" t="s">
        <v>246</v>
      </c>
      <c r="B116" t="s">
        <v>247</v>
      </c>
      <c r="C116">
        <v>133</v>
      </c>
      <c r="D116" t="s">
        <v>28</v>
      </c>
      <c r="E116" s="1">
        <v>45240</v>
      </c>
      <c r="F116">
        <v>7.9</v>
      </c>
      <c r="G116">
        <v>197000</v>
      </c>
      <c r="H116">
        <v>7.6509999999999998</v>
      </c>
      <c r="I116">
        <v>2451</v>
      </c>
      <c r="J116">
        <v>82</v>
      </c>
      <c r="K116">
        <v>97</v>
      </c>
    </row>
    <row r="117" spans="1:11" x14ac:dyDescent="0.3">
      <c r="A117" t="s">
        <v>248</v>
      </c>
      <c r="B117" t="s">
        <v>249</v>
      </c>
      <c r="C117">
        <v>127</v>
      </c>
      <c r="D117" t="s">
        <v>28</v>
      </c>
      <c r="E117" s="1">
        <v>45204</v>
      </c>
      <c r="F117">
        <v>7.7</v>
      </c>
      <c r="G117">
        <v>32000</v>
      </c>
      <c r="H117">
        <v>7.6829999999999998</v>
      </c>
      <c r="I117">
        <v>563</v>
      </c>
      <c r="J117">
        <v>77</v>
      </c>
      <c r="K117">
        <v>97</v>
      </c>
    </row>
    <row r="118" spans="1:11" x14ac:dyDescent="0.3">
      <c r="A118" t="s">
        <v>250</v>
      </c>
      <c r="B118" t="s">
        <v>251</v>
      </c>
      <c r="C118">
        <v>117</v>
      </c>
      <c r="D118" t="s">
        <v>15</v>
      </c>
      <c r="E118" s="1">
        <v>45204</v>
      </c>
      <c r="F118">
        <v>6.7</v>
      </c>
      <c r="G118">
        <v>1200</v>
      </c>
      <c r="H118">
        <v>6.7</v>
      </c>
      <c r="I118">
        <v>19</v>
      </c>
      <c r="J118">
        <v>76</v>
      </c>
      <c r="K118">
        <v>97</v>
      </c>
    </row>
    <row r="119" spans="1:11" x14ac:dyDescent="0.3">
      <c r="A119" t="s">
        <v>252</v>
      </c>
      <c r="B119" t="s">
        <v>253</v>
      </c>
      <c r="C119">
        <v>81</v>
      </c>
      <c r="D119" t="s">
        <v>25</v>
      </c>
      <c r="E119" s="1">
        <v>45183</v>
      </c>
      <c r="F119">
        <v>7.3</v>
      </c>
      <c r="G119">
        <v>32000</v>
      </c>
      <c r="H119">
        <v>7.1260000000000003</v>
      </c>
      <c r="I119">
        <v>726</v>
      </c>
      <c r="J119">
        <v>86</v>
      </c>
      <c r="K119">
        <v>97</v>
      </c>
    </row>
    <row r="120" spans="1:11" x14ac:dyDescent="0.3">
      <c r="A120" t="s">
        <v>254</v>
      </c>
      <c r="B120" t="s">
        <v>255</v>
      </c>
      <c r="C120">
        <v>125</v>
      </c>
      <c r="D120" t="s">
        <v>25</v>
      </c>
      <c r="E120" s="1">
        <v>45023</v>
      </c>
      <c r="F120">
        <v>7.2</v>
      </c>
      <c r="G120">
        <v>6000</v>
      </c>
      <c r="H120">
        <v>6.9</v>
      </c>
      <c r="I120">
        <v>182</v>
      </c>
      <c r="J120">
        <v>81</v>
      </c>
      <c r="K120">
        <v>97</v>
      </c>
    </row>
    <row r="121" spans="1:11" x14ac:dyDescent="0.3">
      <c r="A121" t="s">
        <v>256</v>
      </c>
      <c r="B121" t="s">
        <v>257</v>
      </c>
      <c r="C121">
        <v>117</v>
      </c>
      <c r="D121" t="s">
        <v>28</v>
      </c>
      <c r="E121" s="1">
        <v>45016</v>
      </c>
      <c r="F121">
        <v>7</v>
      </c>
      <c r="G121">
        <v>8100</v>
      </c>
      <c r="H121">
        <v>6.6</v>
      </c>
      <c r="I121">
        <v>146</v>
      </c>
      <c r="J121">
        <v>81</v>
      </c>
      <c r="K121">
        <v>97</v>
      </c>
    </row>
    <row r="122" spans="1:11" x14ac:dyDescent="0.3">
      <c r="A122" t="s">
        <v>258</v>
      </c>
      <c r="B122" t="s">
        <v>259</v>
      </c>
      <c r="C122">
        <v>85</v>
      </c>
      <c r="D122" t="s">
        <v>12</v>
      </c>
      <c r="E122" s="1">
        <v>44897</v>
      </c>
      <c r="F122">
        <v>7.5</v>
      </c>
      <c r="G122">
        <v>1400</v>
      </c>
      <c r="H122">
        <v>6.8</v>
      </c>
      <c r="I122">
        <v>25</v>
      </c>
      <c r="J122">
        <v>83</v>
      </c>
      <c r="K122">
        <v>97</v>
      </c>
    </row>
    <row r="123" spans="1:11" x14ac:dyDescent="0.3">
      <c r="A123" t="s">
        <v>260</v>
      </c>
      <c r="B123" t="s">
        <v>261</v>
      </c>
      <c r="C123">
        <v>119</v>
      </c>
      <c r="D123" t="s">
        <v>28</v>
      </c>
      <c r="E123" s="1">
        <v>44883</v>
      </c>
      <c r="F123">
        <v>6.9</v>
      </c>
      <c r="G123">
        <v>9700</v>
      </c>
      <c r="H123">
        <v>6.3</v>
      </c>
      <c r="I123">
        <v>472</v>
      </c>
      <c r="J123">
        <v>87</v>
      </c>
      <c r="K123">
        <v>97</v>
      </c>
    </row>
    <row r="124" spans="1:11" x14ac:dyDescent="0.3">
      <c r="A124" t="s">
        <v>262</v>
      </c>
      <c r="B124" t="s">
        <v>263</v>
      </c>
      <c r="C124">
        <v>115</v>
      </c>
      <c r="D124" t="s">
        <v>15</v>
      </c>
      <c r="E124" s="1">
        <v>44869</v>
      </c>
      <c r="F124">
        <v>6.8</v>
      </c>
      <c r="G124">
        <v>24000</v>
      </c>
      <c r="H124">
        <v>7.2</v>
      </c>
      <c r="I124">
        <v>1117</v>
      </c>
      <c r="J124">
        <v>69</v>
      </c>
      <c r="K124">
        <v>97</v>
      </c>
    </row>
    <row r="125" spans="1:11" x14ac:dyDescent="0.3">
      <c r="A125" t="s">
        <v>264</v>
      </c>
      <c r="B125" t="s">
        <v>265</v>
      </c>
      <c r="C125">
        <v>95</v>
      </c>
      <c r="D125" t="s">
        <v>15</v>
      </c>
      <c r="E125" s="1">
        <v>44694</v>
      </c>
      <c r="F125">
        <v>7.7</v>
      </c>
      <c r="G125">
        <v>26000</v>
      </c>
      <c r="H125">
        <v>7.5140000000000002</v>
      </c>
      <c r="I125">
        <v>555</v>
      </c>
      <c r="J125">
        <v>89</v>
      </c>
      <c r="K125">
        <v>97</v>
      </c>
    </row>
    <row r="126" spans="1:11" x14ac:dyDescent="0.3">
      <c r="A126" t="s">
        <v>266</v>
      </c>
      <c r="B126" t="s">
        <v>267</v>
      </c>
      <c r="C126">
        <v>73</v>
      </c>
      <c r="D126" t="s">
        <v>12</v>
      </c>
      <c r="E126" s="1">
        <v>44687</v>
      </c>
      <c r="F126">
        <v>7.4</v>
      </c>
      <c r="G126">
        <v>19000</v>
      </c>
      <c r="H126">
        <v>7.0960000000000001</v>
      </c>
      <c r="I126">
        <v>452</v>
      </c>
      <c r="J126">
        <v>93</v>
      </c>
      <c r="K126">
        <v>97</v>
      </c>
    </row>
    <row r="127" spans="1:11" x14ac:dyDescent="0.3">
      <c r="A127" t="s">
        <v>268</v>
      </c>
      <c r="B127" t="s">
        <v>269</v>
      </c>
      <c r="C127">
        <v>116</v>
      </c>
      <c r="D127" t="s">
        <v>25</v>
      </c>
      <c r="E127" s="1">
        <v>44687</v>
      </c>
      <c r="F127">
        <v>7.5</v>
      </c>
      <c r="G127">
        <v>8100</v>
      </c>
      <c r="H127">
        <v>7.2539999999999996</v>
      </c>
      <c r="I127">
        <v>195</v>
      </c>
      <c r="J127">
        <v>89</v>
      </c>
      <c r="K127">
        <v>97</v>
      </c>
    </row>
    <row r="128" spans="1:11" x14ac:dyDescent="0.3">
      <c r="A128" t="s">
        <v>270</v>
      </c>
      <c r="B128" t="s">
        <v>271</v>
      </c>
      <c r="C128">
        <v>95</v>
      </c>
      <c r="D128" t="s">
        <v>28</v>
      </c>
      <c r="E128" s="1">
        <v>44617</v>
      </c>
      <c r="F128">
        <v>6.9</v>
      </c>
      <c r="G128">
        <v>15000</v>
      </c>
      <c r="H128">
        <v>7</v>
      </c>
      <c r="I128">
        <v>358</v>
      </c>
      <c r="J128">
        <v>74</v>
      </c>
      <c r="K128">
        <v>97</v>
      </c>
    </row>
    <row r="129" spans="1:11" x14ac:dyDescent="0.3">
      <c r="A129" t="s">
        <v>272</v>
      </c>
      <c r="B129" t="s">
        <v>273</v>
      </c>
      <c r="C129">
        <v>93</v>
      </c>
      <c r="D129" t="s">
        <v>28</v>
      </c>
      <c r="E129" s="1">
        <v>45730</v>
      </c>
      <c r="F129">
        <v>7.3</v>
      </c>
      <c r="G129">
        <v>11000</v>
      </c>
      <c r="H129">
        <v>6.3440000000000003</v>
      </c>
      <c r="I129">
        <v>1176</v>
      </c>
      <c r="J129">
        <v>85</v>
      </c>
      <c r="K129">
        <v>96</v>
      </c>
    </row>
    <row r="130" spans="1:11" x14ac:dyDescent="0.3">
      <c r="A130" t="s">
        <v>274</v>
      </c>
      <c r="B130" t="s">
        <v>275</v>
      </c>
      <c r="C130">
        <v>87</v>
      </c>
      <c r="D130" t="s">
        <v>28</v>
      </c>
      <c r="E130" s="1">
        <v>45722</v>
      </c>
      <c r="F130">
        <v>7.1</v>
      </c>
      <c r="G130">
        <v>1100</v>
      </c>
      <c r="H130">
        <v>6.4</v>
      </c>
      <c r="I130">
        <v>18</v>
      </c>
      <c r="J130">
        <v>73</v>
      </c>
      <c r="K130">
        <v>96</v>
      </c>
    </row>
    <row r="131" spans="1:11" x14ac:dyDescent="0.3">
      <c r="A131" t="s">
        <v>276</v>
      </c>
      <c r="B131" t="s">
        <v>277</v>
      </c>
      <c r="C131">
        <v>90</v>
      </c>
      <c r="D131" t="s">
        <v>28</v>
      </c>
      <c r="E131" s="1">
        <v>45597</v>
      </c>
      <c r="F131">
        <v>7.1</v>
      </c>
      <c r="G131">
        <v>79000</v>
      </c>
      <c r="H131">
        <v>6.774</v>
      </c>
      <c r="I131">
        <v>1361</v>
      </c>
      <c r="J131">
        <v>85</v>
      </c>
      <c r="K131">
        <v>96</v>
      </c>
    </row>
    <row r="132" spans="1:11" x14ac:dyDescent="0.3">
      <c r="A132" t="s">
        <v>278</v>
      </c>
      <c r="B132" t="s">
        <v>279</v>
      </c>
      <c r="C132">
        <v>97</v>
      </c>
      <c r="D132" t="s">
        <v>28</v>
      </c>
      <c r="E132" s="1">
        <v>45527</v>
      </c>
      <c r="F132">
        <v>7.1</v>
      </c>
      <c r="G132">
        <v>48000</v>
      </c>
      <c r="H132">
        <v>6.9130000000000003</v>
      </c>
      <c r="I132">
        <v>878</v>
      </c>
      <c r="J132">
        <v>80</v>
      </c>
      <c r="K132">
        <v>96</v>
      </c>
    </row>
    <row r="133" spans="1:11" x14ac:dyDescent="0.3">
      <c r="A133" t="s">
        <v>280</v>
      </c>
      <c r="B133" t="s">
        <v>281</v>
      </c>
      <c r="C133">
        <v>105</v>
      </c>
      <c r="D133" t="s">
        <v>28</v>
      </c>
      <c r="E133" s="1">
        <v>45506</v>
      </c>
      <c r="F133">
        <v>7.6</v>
      </c>
      <c r="G133">
        <v>17000</v>
      </c>
      <c r="H133">
        <v>7.2649999999999997</v>
      </c>
      <c r="I133">
        <v>255</v>
      </c>
      <c r="J133">
        <v>76</v>
      </c>
      <c r="K133">
        <v>96</v>
      </c>
    </row>
    <row r="134" spans="1:11" x14ac:dyDescent="0.3">
      <c r="A134" t="s">
        <v>282</v>
      </c>
      <c r="B134" t="s">
        <v>283</v>
      </c>
      <c r="C134">
        <v>98</v>
      </c>
      <c r="D134" t="s">
        <v>28</v>
      </c>
      <c r="E134" s="1">
        <v>45492</v>
      </c>
      <c r="F134">
        <v>6.7</v>
      </c>
      <c r="G134">
        <v>40000</v>
      </c>
      <c r="H134">
        <v>6.6550000000000002</v>
      </c>
      <c r="I134">
        <v>747</v>
      </c>
      <c r="J134">
        <v>78</v>
      </c>
      <c r="K134">
        <v>96</v>
      </c>
    </row>
    <row r="135" spans="1:11" x14ac:dyDescent="0.3">
      <c r="A135" t="s">
        <v>284</v>
      </c>
      <c r="B135" t="s">
        <v>285</v>
      </c>
      <c r="C135">
        <v>105</v>
      </c>
      <c r="D135" t="s">
        <v>28</v>
      </c>
      <c r="E135" s="1">
        <v>45374</v>
      </c>
      <c r="F135">
        <v>6.1</v>
      </c>
      <c r="G135">
        <v>1100</v>
      </c>
      <c r="H135">
        <v>6.5</v>
      </c>
      <c r="I135">
        <v>62</v>
      </c>
      <c r="J135">
        <v>67</v>
      </c>
      <c r="K135">
        <v>96</v>
      </c>
    </row>
    <row r="136" spans="1:11" x14ac:dyDescent="0.3">
      <c r="A136" t="s">
        <v>286</v>
      </c>
      <c r="B136" t="s">
        <v>287</v>
      </c>
      <c r="C136">
        <v>151</v>
      </c>
      <c r="D136" t="s">
        <v>28</v>
      </c>
      <c r="E136" s="1">
        <v>45373</v>
      </c>
      <c r="F136">
        <v>7.6</v>
      </c>
      <c r="G136">
        <v>172000</v>
      </c>
      <c r="H136">
        <v>7.524</v>
      </c>
      <c r="I136">
        <v>3230</v>
      </c>
      <c r="J136">
        <v>86</v>
      </c>
      <c r="K136">
        <v>96</v>
      </c>
    </row>
    <row r="137" spans="1:11" x14ac:dyDescent="0.3">
      <c r="A137" t="s">
        <v>288</v>
      </c>
      <c r="B137" t="s">
        <v>289</v>
      </c>
      <c r="C137">
        <v>118</v>
      </c>
      <c r="D137" t="s">
        <v>18</v>
      </c>
      <c r="E137" s="1">
        <v>45308</v>
      </c>
      <c r="F137">
        <v>7.1</v>
      </c>
      <c r="G137">
        <v>14000</v>
      </c>
      <c r="H137">
        <v>7.1</v>
      </c>
      <c r="I137">
        <v>466</v>
      </c>
      <c r="J137">
        <v>80</v>
      </c>
      <c r="K137">
        <v>96</v>
      </c>
    </row>
    <row r="138" spans="1:11" x14ac:dyDescent="0.3">
      <c r="A138" t="s">
        <v>290</v>
      </c>
      <c r="B138" t="s">
        <v>291</v>
      </c>
      <c r="C138">
        <v>105</v>
      </c>
      <c r="D138" t="s">
        <v>28</v>
      </c>
      <c r="E138" s="1">
        <v>45282</v>
      </c>
      <c r="F138">
        <v>7.6</v>
      </c>
      <c r="G138">
        <v>70000</v>
      </c>
      <c r="H138">
        <v>7.3949999999999996</v>
      </c>
      <c r="I138">
        <v>994</v>
      </c>
      <c r="J138">
        <v>90</v>
      </c>
      <c r="K138">
        <v>96</v>
      </c>
    </row>
    <row r="139" spans="1:11" x14ac:dyDescent="0.3">
      <c r="A139" t="s">
        <v>292</v>
      </c>
      <c r="B139" t="s">
        <v>293</v>
      </c>
      <c r="C139">
        <v>124</v>
      </c>
      <c r="D139" t="s">
        <v>12</v>
      </c>
      <c r="E139" s="1">
        <v>45281</v>
      </c>
      <c r="F139">
        <v>7.9</v>
      </c>
      <c r="G139">
        <v>80000</v>
      </c>
      <c r="H139">
        <v>7.79</v>
      </c>
      <c r="I139">
        <v>1861</v>
      </c>
      <c r="J139">
        <v>80</v>
      </c>
      <c r="K139">
        <v>96</v>
      </c>
    </row>
    <row r="140" spans="1:11" x14ac:dyDescent="0.3">
      <c r="A140" t="s">
        <v>294</v>
      </c>
      <c r="B140" t="s">
        <v>295</v>
      </c>
      <c r="C140">
        <v>124</v>
      </c>
      <c r="D140" t="s">
        <v>15</v>
      </c>
      <c r="E140" s="1">
        <v>45268</v>
      </c>
      <c r="F140">
        <v>7.4</v>
      </c>
      <c r="G140">
        <v>93000</v>
      </c>
      <c r="H140">
        <v>7.4080000000000004</v>
      </c>
      <c r="I140">
        <v>2588</v>
      </c>
      <c r="J140">
        <v>91</v>
      </c>
      <c r="K140">
        <v>96</v>
      </c>
    </row>
    <row r="141" spans="1:11" x14ac:dyDescent="0.3">
      <c r="A141" t="s">
        <v>296</v>
      </c>
      <c r="B141" t="s">
        <v>297</v>
      </c>
      <c r="C141">
        <v>125</v>
      </c>
      <c r="D141" t="s">
        <v>15</v>
      </c>
      <c r="E141" s="1">
        <v>45233</v>
      </c>
      <c r="F141">
        <v>7.8</v>
      </c>
      <c r="G141">
        <v>6600</v>
      </c>
      <c r="H141">
        <v>8.3219999999999992</v>
      </c>
      <c r="I141">
        <v>498</v>
      </c>
      <c r="J141">
        <v>70</v>
      </c>
      <c r="K141">
        <v>96</v>
      </c>
    </row>
    <row r="142" spans="1:11" x14ac:dyDescent="0.3">
      <c r="A142" t="s">
        <v>298</v>
      </c>
      <c r="B142" t="s">
        <v>299</v>
      </c>
      <c r="C142">
        <v>99</v>
      </c>
      <c r="D142" t="s">
        <v>18</v>
      </c>
      <c r="E142" s="1">
        <v>45226</v>
      </c>
      <c r="F142">
        <v>6.9</v>
      </c>
      <c r="G142">
        <v>50000</v>
      </c>
      <c r="H142">
        <v>7.1509999999999998</v>
      </c>
      <c r="I142">
        <v>1412</v>
      </c>
      <c r="J142">
        <v>75</v>
      </c>
      <c r="K142">
        <v>96</v>
      </c>
    </row>
    <row r="143" spans="1:11" x14ac:dyDescent="0.3">
      <c r="A143" t="s">
        <v>300</v>
      </c>
      <c r="B143" t="s">
        <v>301</v>
      </c>
      <c r="C143">
        <v>121</v>
      </c>
      <c r="D143" t="s">
        <v>18</v>
      </c>
      <c r="E143" s="1">
        <v>45176</v>
      </c>
      <c r="F143">
        <v>7.6</v>
      </c>
      <c r="G143">
        <v>16000</v>
      </c>
      <c r="H143">
        <v>7.798</v>
      </c>
      <c r="I143">
        <v>806</v>
      </c>
      <c r="J143">
        <v>79</v>
      </c>
      <c r="K143">
        <v>96</v>
      </c>
    </row>
    <row r="144" spans="1:11" x14ac:dyDescent="0.3">
      <c r="A144" t="s">
        <v>302</v>
      </c>
      <c r="B144" t="s">
        <v>303</v>
      </c>
      <c r="C144">
        <v>163</v>
      </c>
      <c r="D144" t="s">
        <v>15</v>
      </c>
      <c r="E144" s="1">
        <v>45119</v>
      </c>
      <c r="F144">
        <v>7.6</v>
      </c>
      <c r="G144">
        <v>282000</v>
      </c>
      <c r="H144">
        <v>7.5</v>
      </c>
      <c r="I144">
        <v>5040</v>
      </c>
      <c r="J144">
        <v>81</v>
      </c>
      <c r="K144">
        <v>96</v>
      </c>
    </row>
    <row r="145" spans="1:11" x14ac:dyDescent="0.3">
      <c r="A145" t="s">
        <v>304</v>
      </c>
      <c r="B145" t="s">
        <v>305</v>
      </c>
      <c r="C145">
        <v>107</v>
      </c>
      <c r="D145" t="s">
        <v>18</v>
      </c>
      <c r="E145" s="1">
        <v>45112</v>
      </c>
      <c r="F145">
        <v>7.4</v>
      </c>
      <c r="G145">
        <v>3900</v>
      </c>
      <c r="H145">
        <v>7.4720000000000004</v>
      </c>
      <c r="I145">
        <v>107</v>
      </c>
      <c r="J145">
        <v>80</v>
      </c>
      <c r="K145">
        <v>96</v>
      </c>
    </row>
    <row r="146" spans="1:11" x14ac:dyDescent="0.3">
      <c r="A146" t="s">
        <v>306</v>
      </c>
      <c r="B146" t="s">
        <v>307</v>
      </c>
      <c r="C146">
        <v>88</v>
      </c>
      <c r="D146" t="s">
        <v>18</v>
      </c>
      <c r="E146" s="1">
        <v>44947</v>
      </c>
      <c r="F146">
        <v>6.7</v>
      </c>
      <c r="G146">
        <v>16000</v>
      </c>
      <c r="H146">
        <v>6.5069999999999997</v>
      </c>
      <c r="I146">
        <v>415</v>
      </c>
      <c r="J146">
        <v>85</v>
      </c>
      <c r="K146">
        <v>96</v>
      </c>
    </row>
    <row r="147" spans="1:11" x14ac:dyDescent="0.3">
      <c r="A147" t="s">
        <v>308</v>
      </c>
      <c r="B147" t="s">
        <v>309</v>
      </c>
      <c r="C147">
        <v>102</v>
      </c>
      <c r="D147" t="s">
        <v>28</v>
      </c>
      <c r="E147" s="1">
        <v>44883</v>
      </c>
      <c r="F147">
        <v>7.6</v>
      </c>
      <c r="G147">
        <v>112000</v>
      </c>
      <c r="H147">
        <v>7.6840000000000002</v>
      </c>
      <c r="I147">
        <v>1796</v>
      </c>
      <c r="J147">
        <v>95</v>
      </c>
      <c r="K147">
        <v>96</v>
      </c>
    </row>
    <row r="148" spans="1:11" x14ac:dyDescent="0.3">
      <c r="A148" t="s">
        <v>310</v>
      </c>
      <c r="B148" t="s">
        <v>311</v>
      </c>
      <c r="C148">
        <v>114</v>
      </c>
      <c r="D148" t="s">
        <v>28</v>
      </c>
      <c r="E148" s="1">
        <v>44869</v>
      </c>
      <c r="F148">
        <v>7.7</v>
      </c>
      <c r="G148">
        <v>276000</v>
      </c>
      <c r="H148">
        <v>7.4640000000000004</v>
      </c>
      <c r="I148">
        <v>3306</v>
      </c>
      <c r="J148">
        <v>87</v>
      </c>
      <c r="K148">
        <v>96</v>
      </c>
    </row>
    <row r="149" spans="1:11" x14ac:dyDescent="0.3">
      <c r="A149" t="s">
        <v>312</v>
      </c>
      <c r="B149" t="s">
        <v>313</v>
      </c>
      <c r="C149">
        <v>102</v>
      </c>
      <c r="D149" t="s">
        <v>15</v>
      </c>
      <c r="E149" s="1">
        <v>44869</v>
      </c>
      <c r="F149">
        <v>7.2</v>
      </c>
      <c r="G149">
        <v>37000</v>
      </c>
      <c r="H149">
        <v>6.9640000000000004</v>
      </c>
      <c r="I149">
        <v>509</v>
      </c>
      <c r="J149">
        <v>81</v>
      </c>
      <c r="K149">
        <v>96</v>
      </c>
    </row>
    <row r="150" spans="1:11" x14ac:dyDescent="0.3">
      <c r="A150" t="s">
        <v>314</v>
      </c>
      <c r="B150" t="s">
        <v>315</v>
      </c>
      <c r="C150">
        <v>130</v>
      </c>
      <c r="D150" t="s">
        <v>15</v>
      </c>
      <c r="E150" s="1">
        <v>44862</v>
      </c>
      <c r="F150">
        <v>7.2</v>
      </c>
      <c r="G150">
        <v>17000</v>
      </c>
      <c r="H150">
        <v>7.2869999999999999</v>
      </c>
      <c r="I150">
        <v>331</v>
      </c>
      <c r="J150">
        <v>77</v>
      </c>
      <c r="K150">
        <v>96</v>
      </c>
    </row>
    <row r="151" spans="1:11" x14ac:dyDescent="0.3">
      <c r="A151" t="s">
        <v>316</v>
      </c>
      <c r="B151" t="s">
        <v>317</v>
      </c>
      <c r="C151">
        <v>140</v>
      </c>
      <c r="D151" t="s">
        <v>28</v>
      </c>
      <c r="E151" s="1">
        <v>44855</v>
      </c>
      <c r="F151">
        <v>7.6</v>
      </c>
      <c r="G151">
        <v>34000</v>
      </c>
      <c r="H151">
        <v>7.819</v>
      </c>
      <c r="I151">
        <v>733</v>
      </c>
      <c r="J151">
        <v>78</v>
      </c>
      <c r="K151">
        <v>96</v>
      </c>
    </row>
    <row r="152" spans="1:11" x14ac:dyDescent="0.3">
      <c r="A152" t="s">
        <v>318</v>
      </c>
      <c r="B152" t="s">
        <v>319</v>
      </c>
      <c r="C152">
        <v>112</v>
      </c>
      <c r="D152" t="s">
        <v>12</v>
      </c>
      <c r="E152" s="1">
        <v>44724</v>
      </c>
      <c r="F152">
        <v>8.1</v>
      </c>
      <c r="G152">
        <v>595</v>
      </c>
      <c r="H152">
        <v>6.6</v>
      </c>
      <c r="I152">
        <v>7</v>
      </c>
      <c r="J152">
        <v>81</v>
      </c>
      <c r="K152">
        <v>96</v>
      </c>
    </row>
    <row r="153" spans="1:11" x14ac:dyDescent="0.3">
      <c r="A153" t="s">
        <v>320</v>
      </c>
      <c r="B153" t="s">
        <v>321</v>
      </c>
      <c r="C153">
        <v>95</v>
      </c>
      <c r="D153" t="s">
        <v>15</v>
      </c>
      <c r="E153" s="1">
        <v>44711</v>
      </c>
      <c r="F153">
        <v>7.6</v>
      </c>
      <c r="G153">
        <v>1300</v>
      </c>
      <c r="H153">
        <v>6.2</v>
      </c>
      <c r="I153">
        <v>13</v>
      </c>
      <c r="J153">
        <v>69</v>
      </c>
      <c r="K153">
        <v>96</v>
      </c>
    </row>
    <row r="154" spans="1:11" x14ac:dyDescent="0.3">
      <c r="A154" t="s">
        <v>322</v>
      </c>
      <c r="B154" t="s">
        <v>323</v>
      </c>
      <c r="C154">
        <v>130</v>
      </c>
      <c r="D154" t="s">
        <v>15</v>
      </c>
      <c r="E154" s="1">
        <v>44708</v>
      </c>
      <c r="F154">
        <v>8.1999999999999993</v>
      </c>
      <c r="G154">
        <v>764000</v>
      </c>
      <c r="H154">
        <v>8.1519999999999992</v>
      </c>
      <c r="I154">
        <v>10763</v>
      </c>
      <c r="J154">
        <v>78</v>
      </c>
      <c r="K154">
        <v>96</v>
      </c>
    </row>
    <row r="155" spans="1:11" x14ac:dyDescent="0.3">
      <c r="A155" t="s">
        <v>324</v>
      </c>
      <c r="B155" t="s">
        <v>325</v>
      </c>
      <c r="C155">
        <v>187</v>
      </c>
      <c r="D155" t="s">
        <v>63</v>
      </c>
      <c r="E155" s="1">
        <v>44645</v>
      </c>
      <c r="F155">
        <v>7.8</v>
      </c>
      <c r="G155">
        <v>177000</v>
      </c>
      <c r="H155">
        <v>7.7149999999999999</v>
      </c>
      <c r="I155">
        <v>1569</v>
      </c>
      <c r="J155">
        <v>83</v>
      </c>
      <c r="K155">
        <v>96</v>
      </c>
    </row>
    <row r="156" spans="1:11" x14ac:dyDescent="0.3">
      <c r="A156" t="s">
        <v>326</v>
      </c>
      <c r="B156" t="s">
        <v>327</v>
      </c>
      <c r="C156">
        <v>102</v>
      </c>
      <c r="D156" t="s">
        <v>90</v>
      </c>
      <c r="E156" s="1">
        <v>44632</v>
      </c>
      <c r="F156">
        <v>7.9</v>
      </c>
      <c r="G156">
        <v>2000</v>
      </c>
      <c r="H156">
        <v>7.4</v>
      </c>
      <c r="I156">
        <v>23</v>
      </c>
      <c r="J156">
        <v>73</v>
      </c>
      <c r="K156">
        <v>96</v>
      </c>
    </row>
    <row r="157" spans="1:11" x14ac:dyDescent="0.3">
      <c r="A157" t="s">
        <v>328</v>
      </c>
      <c r="B157" t="s">
        <v>329</v>
      </c>
      <c r="C157">
        <v>115</v>
      </c>
      <c r="D157" t="s">
        <v>28</v>
      </c>
      <c r="E157" s="1">
        <v>44617</v>
      </c>
      <c r="F157">
        <v>7</v>
      </c>
      <c r="G157">
        <v>16000</v>
      </c>
      <c r="H157">
        <v>6.6</v>
      </c>
      <c r="I157">
        <v>440</v>
      </c>
      <c r="J157">
        <v>79</v>
      </c>
      <c r="K157">
        <v>96</v>
      </c>
    </row>
    <row r="158" spans="1:11" x14ac:dyDescent="0.3">
      <c r="A158" t="s">
        <v>330</v>
      </c>
      <c r="B158" t="s">
        <v>331</v>
      </c>
      <c r="C158">
        <v>102</v>
      </c>
      <c r="D158" t="s">
        <v>15</v>
      </c>
      <c r="E158" s="1">
        <v>45779</v>
      </c>
      <c r="F158">
        <v>8.1</v>
      </c>
      <c r="G158">
        <v>389</v>
      </c>
      <c r="H158">
        <v>7.4630000000000001</v>
      </c>
      <c r="I158">
        <v>108</v>
      </c>
      <c r="J158">
        <v>75</v>
      </c>
      <c r="K158">
        <v>95</v>
      </c>
    </row>
    <row r="159" spans="1:11" x14ac:dyDescent="0.3">
      <c r="A159" t="s">
        <v>332</v>
      </c>
      <c r="B159" t="s">
        <v>333</v>
      </c>
      <c r="C159">
        <v>97</v>
      </c>
      <c r="D159" t="s">
        <v>28</v>
      </c>
      <c r="E159" s="1">
        <v>45667</v>
      </c>
      <c r="F159">
        <v>7.3</v>
      </c>
      <c r="G159">
        <v>4700</v>
      </c>
      <c r="H159">
        <v>6.4580000000000002</v>
      </c>
      <c r="I159">
        <v>154</v>
      </c>
      <c r="J159">
        <v>88</v>
      </c>
      <c r="K159">
        <v>95</v>
      </c>
    </row>
    <row r="160" spans="1:11" x14ac:dyDescent="0.3">
      <c r="A160" t="s">
        <v>334</v>
      </c>
      <c r="B160" t="s">
        <v>335</v>
      </c>
      <c r="C160">
        <v>117</v>
      </c>
      <c r="D160" t="s">
        <v>28</v>
      </c>
      <c r="E160" s="1">
        <v>45629</v>
      </c>
      <c r="F160">
        <v>7</v>
      </c>
      <c r="G160">
        <v>1100</v>
      </c>
      <c r="H160">
        <v>6.2</v>
      </c>
      <c r="I160">
        <v>27</v>
      </c>
      <c r="J160">
        <v>82</v>
      </c>
      <c r="K160">
        <v>95</v>
      </c>
    </row>
    <row r="161" spans="1:11" x14ac:dyDescent="0.3">
      <c r="A161" t="s">
        <v>336</v>
      </c>
      <c r="B161" t="s">
        <v>337</v>
      </c>
      <c r="C161">
        <v>95</v>
      </c>
      <c r="D161" t="s">
        <v>28</v>
      </c>
      <c r="E161" s="1">
        <v>45582</v>
      </c>
      <c r="F161">
        <v>7.8</v>
      </c>
      <c r="G161">
        <v>16000</v>
      </c>
      <c r="H161">
        <v>8.0429999999999993</v>
      </c>
      <c r="I161">
        <v>752</v>
      </c>
      <c r="J161">
        <v>81</v>
      </c>
      <c r="K161">
        <v>95</v>
      </c>
    </row>
    <row r="162" spans="1:11" x14ac:dyDescent="0.3">
      <c r="A162" t="s">
        <v>338</v>
      </c>
      <c r="B162" t="s">
        <v>339</v>
      </c>
      <c r="C162">
        <v>131</v>
      </c>
      <c r="D162" t="s">
        <v>63</v>
      </c>
      <c r="E162" s="1">
        <v>45541</v>
      </c>
      <c r="F162">
        <v>6.8</v>
      </c>
      <c r="G162">
        <v>86000</v>
      </c>
      <c r="H162">
        <v>7</v>
      </c>
      <c r="I162">
        <v>1580</v>
      </c>
      <c r="J162">
        <v>76</v>
      </c>
      <c r="K162">
        <v>95</v>
      </c>
    </row>
    <row r="163" spans="1:11" x14ac:dyDescent="0.3">
      <c r="A163" t="s">
        <v>340</v>
      </c>
      <c r="B163" t="s">
        <v>341</v>
      </c>
      <c r="C163">
        <v>115</v>
      </c>
      <c r="D163" t="s">
        <v>28</v>
      </c>
      <c r="E163" s="1">
        <v>45450</v>
      </c>
      <c r="F163">
        <v>6.8</v>
      </c>
      <c r="G163">
        <v>113000</v>
      </c>
      <c r="H163">
        <v>6.7939999999999996</v>
      </c>
      <c r="I163">
        <v>1594</v>
      </c>
      <c r="J163">
        <v>82</v>
      </c>
      <c r="K163">
        <v>95</v>
      </c>
    </row>
    <row r="164" spans="1:11" x14ac:dyDescent="0.3">
      <c r="A164" t="s">
        <v>342</v>
      </c>
      <c r="B164" t="s">
        <v>343</v>
      </c>
      <c r="C164">
        <v>106</v>
      </c>
      <c r="D164" t="s">
        <v>18</v>
      </c>
      <c r="E164" s="1">
        <v>45408</v>
      </c>
      <c r="F164">
        <v>6.2</v>
      </c>
      <c r="G164">
        <v>12000</v>
      </c>
      <c r="H164">
        <v>6.5670000000000002</v>
      </c>
      <c r="I164">
        <v>566</v>
      </c>
      <c r="J164">
        <v>70</v>
      </c>
      <c r="K164">
        <v>95</v>
      </c>
    </row>
    <row r="165" spans="1:11" x14ac:dyDescent="0.3">
      <c r="A165" t="s">
        <v>344</v>
      </c>
      <c r="B165" t="s">
        <v>345</v>
      </c>
      <c r="C165">
        <v>131</v>
      </c>
      <c r="D165" t="s">
        <v>18</v>
      </c>
      <c r="E165" s="1">
        <v>45380</v>
      </c>
      <c r="F165">
        <v>7.3</v>
      </c>
      <c r="G165">
        <v>17000</v>
      </c>
      <c r="H165">
        <v>7.3</v>
      </c>
      <c r="I165">
        <v>556</v>
      </c>
      <c r="J165">
        <v>91</v>
      </c>
      <c r="K165">
        <v>95</v>
      </c>
    </row>
    <row r="166" spans="1:11" x14ac:dyDescent="0.3">
      <c r="A166" t="s">
        <v>346</v>
      </c>
      <c r="B166" t="s">
        <v>347</v>
      </c>
      <c r="C166">
        <v>96</v>
      </c>
      <c r="D166" t="s">
        <v>63</v>
      </c>
      <c r="E166" s="1">
        <v>45251</v>
      </c>
      <c r="F166">
        <v>6.6</v>
      </c>
      <c r="G166">
        <v>1400</v>
      </c>
      <c r="H166">
        <v>6.6</v>
      </c>
      <c r="I166">
        <v>17</v>
      </c>
      <c r="J166">
        <v>72</v>
      </c>
      <c r="K166">
        <v>95</v>
      </c>
    </row>
    <row r="167" spans="1:11" x14ac:dyDescent="0.3">
      <c r="A167" t="s">
        <v>348</v>
      </c>
      <c r="B167" t="s">
        <v>349</v>
      </c>
      <c r="C167">
        <v>98</v>
      </c>
      <c r="D167" t="s">
        <v>28</v>
      </c>
      <c r="E167" s="1">
        <v>45174</v>
      </c>
      <c r="F167">
        <v>6.2</v>
      </c>
      <c r="G167">
        <v>7800</v>
      </c>
      <c r="H167">
        <v>6.5</v>
      </c>
      <c r="I167">
        <v>171</v>
      </c>
      <c r="J167">
        <v>78</v>
      </c>
      <c r="K167">
        <v>95</v>
      </c>
    </row>
    <row r="168" spans="1:11" x14ac:dyDescent="0.3">
      <c r="A168" t="s">
        <v>350</v>
      </c>
      <c r="B168" t="s">
        <v>351</v>
      </c>
      <c r="C168">
        <v>99</v>
      </c>
      <c r="D168" t="s">
        <v>12</v>
      </c>
      <c r="E168" s="1">
        <v>45140</v>
      </c>
      <c r="F168">
        <v>7.2</v>
      </c>
      <c r="G168">
        <v>72000</v>
      </c>
      <c r="H168">
        <v>7.2</v>
      </c>
      <c r="I168">
        <v>1564</v>
      </c>
      <c r="J168">
        <v>74</v>
      </c>
      <c r="K168">
        <v>95</v>
      </c>
    </row>
    <row r="169" spans="1:11" x14ac:dyDescent="0.3">
      <c r="A169" t="s">
        <v>352</v>
      </c>
      <c r="B169" t="s">
        <v>353</v>
      </c>
      <c r="C169">
        <v>122</v>
      </c>
      <c r="D169" t="s">
        <v>28</v>
      </c>
      <c r="E169" s="1">
        <v>45128</v>
      </c>
      <c r="F169">
        <v>6.6</v>
      </c>
      <c r="G169">
        <v>45000</v>
      </c>
      <c r="H169">
        <v>6.5629999999999997</v>
      </c>
      <c r="I169">
        <v>729</v>
      </c>
      <c r="J169">
        <v>74</v>
      </c>
      <c r="K169">
        <v>95</v>
      </c>
    </row>
    <row r="170" spans="1:11" x14ac:dyDescent="0.3">
      <c r="A170" t="s">
        <v>354</v>
      </c>
      <c r="B170" t="s">
        <v>355</v>
      </c>
      <c r="C170">
        <v>105</v>
      </c>
      <c r="D170" t="s">
        <v>15</v>
      </c>
      <c r="E170" s="1">
        <v>45100</v>
      </c>
      <c r="F170">
        <v>7.8</v>
      </c>
      <c r="G170">
        <v>149000</v>
      </c>
      <c r="H170">
        <v>7.7</v>
      </c>
      <c r="I170">
        <v>2262</v>
      </c>
      <c r="J170">
        <v>94</v>
      </c>
      <c r="K170">
        <v>95</v>
      </c>
    </row>
    <row r="171" spans="1:11" x14ac:dyDescent="0.3">
      <c r="A171" t="s">
        <v>356</v>
      </c>
      <c r="B171" t="s">
        <v>357</v>
      </c>
      <c r="C171">
        <v>140</v>
      </c>
      <c r="D171" t="s">
        <v>12</v>
      </c>
      <c r="E171" s="1">
        <v>45079</v>
      </c>
      <c r="F171">
        <v>8.5</v>
      </c>
      <c r="G171">
        <v>444000</v>
      </c>
      <c r="H171">
        <v>8.3330000000000002</v>
      </c>
      <c r="I171">
        <v>8445</v>
      </c>
      <c r="J171">
        <v>86</v>
      </c>
      <c r="K171">
        <v>95</v>
      </c>
    </row>
    <row r="172" spans="1:11" x14ac:dyDescent="0.3">
      <c r="A172" t="s">
        <v>358</v>
      </c>
      <c r="B172" t="s">
        <v>359</v>
      </c>
      <c r="C172">
        <v>98</v>
      </c>
      <c r="D172" t="s">
        <v>15</v>
      </c>
      <c r="E172" s="1">
        <v>45050</v>
      </c>
      <c r="F172">
        <v>7.4</v>
      </c>
      <c r="G172">
        <v>26000</v>
      </c>
      <c r="H172">
        <v>7.2149999999999999</v>
      </c>
      <c r="I172">
        <v>694</v>
      </c>
      <c r="J172">
        <v>82</v>
      </c>
      <c r="K172">
        <v>95</v>
      </c>
    </row>
    <row r="173" spans="1:11" x14ac:dyDescent="0.3">
      <c r="A173" t="s">
        <v>360</v>
      </c>
      <c r="B173" t="s">
        <v>361</v>
      </c>
      <c r="C173">
        <v>104</v>
      </c>
      <c r="D173" t="s">
        <v>28</v>
      </c>
      <c r="E173" s="1">
        <v>45023</v>
      </c>
      <c r="F173">
        <v>6.9</v>
      </c>
      <c r="G173">
        <v>11000</v>
      </c>
      <c r="H173">
        <v>6.3929999999999998</v>
      </c>
      <c r="I173">
        <v>184</v>
      </c>
      <c r="J173">
        <v>76</v>
      </c>
      <c r="K173">
        <v>95</v>
      </c>
    </row>
    <row r="174" spans="1:11" x14ac:dyDescent="0.3">
      <c r="A174" t="s">
        <v>362</v>
      </c>
      <c r="B174" t="s">
        <v>363</v>
      </c>
      <c r="C174">
        <v>113</v>
      </c>
      <c r="D174" t="s">
        <v>25</v>
      </c>
      <c r="E174" s="1">
        <v>44985</v>
      </c>
      <c r="F174">
        <v>7.5</v>
      </c>
      <c r="G174">
        <v>8700</v>
      </c>
      <c r="H174">
        <v>7.1779999999999999</v>
      </c>
      <c r="I174">
        <v>160</v>
      </c>
      <c r="J174">
        <v>91</v>
      </c>
      <c r="K174">
        <v>95</v>
      </c>
    </row>
    <row r="175" spans="1:11" x14ac:dyDescent="0.3">
      <c r="A175" t="s">
        <v>364</v>
      </c>
      <c r="B175" t="s">
        <v>365</v>
      </c>
      <c r="C175">
        <v>96</v>
      </c>
      <c r="D175" t="s">
        <v>15</v>
      </c>
      <c r="E175" s="1">
        <v>44897</v>
      </c>
      <c r="F175">
        <v>5.9</v>
      </c>
      <c r="G175">
        <v>7000</v>
      </c>
      <c r="H175">
        <v>5.9</v>
      </c>
      <c r="I175">
        <v>128</v>
      </c>
      <c r="J175">
        <v>80</v>
      </c>
      <c r="K175">
        <v>95</v>
      </c>
    </row>
    <row r="176" spans="1:11" x14ac:dyDescent="0.3">
      <c r="A176" t="s">
        <v>366</v>
      </c>
      <c r="B176" t="s">
        <v>367</v>
      </c>
      <c r="C176">
        <v>122</v>
      </c>
      <c r="D176" t="s">
        <v>15</v>
      </c>
      <c r="E176" s="1">
        <v>44888</v>
      </c>
      <c r="F176">
        <v>6.8</v>
      </c>
      <c r="G176">
        <v>5800</v>
      </c>
      <c r="H176">
        <v>6.1689999999999996</v>
      </c>
      <c r="I176">
        <v>202</v>
      </c>
      <c r="J176">
        <v>91</v>
      </c>
      <c r="K176">
        <v>95</v>
      </c>
    </row>
    <row r="177" spans="1:11" x14ac:dyDescent="0.3">
      <c r="A177" t="s">
        <v>368</v>
      </c>
      <c r="B177" t="s">
        <v>369</v>
      </c>
      <c r="C177">
        <v>81</v>
      </c>
      <c r="D177" t="s">
        <v>12</v>
      </c>
      <c r="E177" s="1">
        <v>44838</v>
      </c>
      <c r="F177">
        <v>6.7</v>
      </c>
      <c r="G177">
        <v>2500</v>
      </c>
      <c r="H177">
        <v>6.68</v>
      </c>
      <c r="I177">
        <v>50</v>
      </c>
      <c r="J177">
        <v>78</v>
      </c>
      <c r="K177">
        <v>95</v>
      </c>
    </row>
    <row r="178" spans="1:11" x14ac:dyDescent="0.3">
      <c r="A178" t="s">
        <v>370</v>
      </c>
      <c r="B178" t="s">
        <v>371</v>
      </c>
      <c r="C178">
        <v>100</v>
      </c>
      <c r="D178" t="s">
        <v>15</v>
      </c>
      <c r="E178" s="1">
        <v>44791</v>
      </c>
      <c r="F178">
        <v>7.1</v>
      </c>
      <c r="G178">
        <v>17000</v>
      </c>
      <c r="H178">
        <v>7.8789999999999996</v>
      </c>
      <c r="I178">
        <v>2992</v>
      </c>
      <c r="J178">
        <v>65</v>
      </c>
      <c r="K178">
        <v>95</v>
      </c>
    </row>
    <row r="179" spans="1:11" x14ac:dyDescent="0.3">
      <c r="A179" t="s">
        <v>372</v>
      </c>
      <c r="B179" t="s">
        <v>373</v>
      </c>
      <c r="C179">
        <v>100</v>
      </c>
      <c r="D179" t="s">
        <v>12</v>
      </c>
      <c r="E179" s="1">
        <v>44631</v>
      </c>
      <c r="F179">
        <v>6.9</v>
      </c>
      <c r="G179">
        <v>164000</v>
      </c>
      <c r="H179">
        <v>7.3170000000000002</v>
      </c>
      <c r="I179">
        <v>5741</v>
      </c>
      <c r="J179">
        <v>83</v>
      </c>
      <c r="K179">
        <v>95</v>
      </c>
    </row>
    <row r="180" spans="1:11" x14ac:dyDescent="0.3">
      <c r="A180" t="s">
        <v>374</v>
      </c>
      <c r="B180" t="s">
        <v>375</v>
      </c>
      <c r="C180">
        <v>104</v>
      </c>
      <c r="D180" t="s">
        <v>25</v>
      </c>
      <c r="E180" s="1">
        <v>45737</v>
      </c>
      <c r="F180">
        <v>6.9</v>
      </c>
      <c r="G180">
        <v>1700</v>
      </c>
      <c r="H180">
        <v>6.3879999999999999</v>
      </c>
      <c r="I180">
        <v>165</v>
      </c>
      <c r="J180">
        <v>80</v>
      </c>
      <c r="K180">
        <v>94</v>
      </c>
    </row>
    <row r="181" spans="1:11" x14ac:dyDescent="0.3">
      <c r="A181" t="s">
        <v>376</v>
      </c>
      <c r="B181" t="s">
        <v>377</v>
      </c>
      <c r="C181">
        <v>103</v>
      </c>
      <c r="D181" t="s">
        <v>28</v>
      </c>
      <c r="E181" s="1">
        <v>45716</v>
      </c>
      <c r="F181">
        <v>6.7</v>
      </c>
      <c r="G181">
        <v>1700</v>
      </c>
      <c r="H181">
        <v>6.3310000000000004</v>
      </c>
      <c r="I181">
        <v>89</v>
      </c>
      <c r="J181">
        <v>75</v>
      </c>
      <c r="K181">
        <v>94</v>
      </c>
    </row>
    <row r="182" spans="1:11" x14ac:dyDescent="0.3">
      <c r="A182" t="s">
        <v>378</v>
      </c>
      <c r="B182" t="s">
        <v>379</v>
      </c>
      <c r="C182">
        <v>97</v>
      </c>
      <c r="D182" t="s">
        <v>28</v>
      </c>
      <c r="E182" s="1">
        <v>45674</v>
      </c>
      <c r="F182">
        <v>6.6</v>
      </c>
      <c r="G182">
        <v>8500</v>
      </c>
      <c r="H182">
        <v>6.6379999999999999</v>
      </c>
      <c r="I182">
        <v>269</v>
      </c>
      <c r="J182">
        <v>71</v>
      </c>
      <c r="K182">
        <v>94</v>
      </c>
    </row>
    <row r="183" spans="1:11" x14ac:dyDescent="0.3">
      <c r="A183" t="s">
        <v>380</v>
      </c>
      <c r="B183" t="s">
        <v>381</v>
      </c>
      <c r="C183">
        <v>89</v>
      </c>
      <c r="D183" t="s">
        <v>28</v>
      </c>
      <c r="E183" s="1">
        <v>45674</v>
      </c>
      <c r="F183">
        <v>6.9</v>
      </c>
      <c r="G183">
        <v>1700</v>
      </c>
      <c r="H183">
        <v>6.5759999999999996</v>
      </c>
      <c r="I183">
        <v>59</v>
      </c>
      <c r="J183">
        <v>82</v>
      </c>
      <c r="K183">
        <v>94</v>
      </c>
    </row>
    <row r="184" spans="1:11" x14ac:dyDescent="0.3">
      <c r="A184" t="s">
        <v>382</v>
      </c>
      <c r="B184" t="s">
        <v>383</v>
      </c>
      <c r="C184">
        <v>89</v>
      </c>
      <c r="D184" t="s">
        <v>63</v>
      </c>
      <c r="E184" s="1">
        <v>45583</v>
      </c>
      <c r="F184">
        <v>6.4</v>
      </c>
      <c r="G184">
        <v>7100</v>
      </c>
      <c r="H184">
        <v>6.5019999999999998</v>
      </c>
      <c r="I184">
        <v>231</v>
      </c>
      <c r="J184">
        <v>78</v>
      </c>
      <c r="K184">
        <v>94</v>
      </c>
    </row>
    <row r="185" spans="1:11" x14ac:dyDescent="0.3">
      <c r="A185" t="s">
        <v>384</v>
      </c>
      <c r="B185" t="s">
        <v>385</v>
      </c>
      <c r="C185">
        <v>107</v>
      </c>
      <c r="D185" t="s">
        <v>28</v>
      </c>
      <c r="E185" s="1">
        <v>45450</v>
      </c>
      <c r="F185">
        <v>7</v>
      </c>
      <c r="G185">
        <v>1100</v>
      </c>
      <c r="H185">
        <v>6.7</v>
      </c>
      <c r="I185">
        <v>23</v>
      </c>
      <c r="J185">
        <v>80</v>
      </c>
      <c r="K185">
        <v>94</v>
      </c>
    </row>
    <row r="186" spans="1:11" x14ac:dyDescent="0.3">
      <c r="A186" t="s">
        <v>386</v>
      </c>
      <c r="B186" t="s">
        <v>387</v>
      </c>
      <c r="C186">
        <v>98</v>
      </c>
      <c r="D186" t="s">
        <v>25</v>
      </c>
      <c r="E186" s="1">
        <v>45448</v>
      </c>
      <c r="F186">
        <v>7</v>
      </c>
      <c r="G186">
        <v>609</v>
      </c>
      <c r="H186">
        <v>6.9</v>
      </c>
      <c r="I186">
        <v>18</v>
      </c>
      <c r="J186">
        <v>79</v>
      </c>
      <c r="K186">
        <v>94</v>
      </c>
    </row>
    <row r="187" spans="1:11" x14ac:dyDescent="0.3">
      <c r="A187" t="s">
        <v>388</v>
      </c>
      <c r="B187" t="s">
        <v>389</v>
      </c>
      <c r="C187">
        <v>104</v>
      </c>
      <c r="D187" t="s">
        <v>28</v>
      </c>
      <c r="E187" s="1">
        <v>45415</v>
      </c>
      <c r="F187">
        <v>6.6</v>
      </c>
      <c r="G187">
        <v>56000</v>
      </c>
      <c r="H187">
        <v>6.5570000000000004</v>
      </c>
      <c r="I187">
        <v>939</v>
      </c>
      <c r="J187">
        <v>77</v>
      </c>
      <c r="K187">
        <v>94</v>
      </c>
    </row>
    <row r="188" spans="1:11" x14ac:dyDescent="0.3">
      <c r="A188" t="s">
        <v>390</v>
      </c>
      <c r="B188" t="s">
        <v>391</v>
      </c>
      <c r="C188">
        <v>110</v>
      </c>
      <c r="D188" t="s">
        <v>15</v>
      </c>
      <c r="E188" s="1">
        <v>45401</v>
      </c>
      <c r="F188">
        <v>7.3</v>
      </c>
      <c r="G188">
        <v>6600</v>
      </c>
      <c r="H188">
        <v>7.1230000000000002</v>
      </c>
      <c r="I188">
        <v>619</v>
      </c>
      <c r="J188">
        <v>68</v>
      </c>
      <c r="K188">
        <v>94</v>
      </c>
    </row>
    <row r="189" spans="1:11" x14ac:dyDescent="0.3">
      <c r="A189" t="s">
        <v>392</v>
      </c>
      <c r="B189" t="s">
        <v>393</v>
      </c>
      <c r="C189">
        <v>97</v>
      </c>
      <c r="D189" t="s">
        <v>18</v>
      </c>
      <c r="E189" s="1">
        <v>45380</v>
      </c>
      <c r="F189">
        <v>6.9</v>
      </c>
      <c r="G189">
        <v>5700</v>
      </c>
      <c r="H189">
        <v>6.7750000000000004</v>
      </c>
      <c r="I189">
        <v>149</v>
      </c>
      <c r="J189">
        <v>80</v>
      </c>
      <c r="K189">
        <v>94</v>
      </c>
    </row>
    <row r="190" spans="1:11" x14ac:dyDescent="0.3">
      <c r="A190" t="s">
        <v>394</v>
      </c>
      <c r="B190" t="s">
        <v>395</v>
      </c>
      <c r="C190">
        <v>107</v>
      </c>
      <c r="D190" t="s">
        <v>15</v>
      </c>
      <c r="E190" s="1">
        <v>45373</v>
      </c>
      <c r="F190">
        <v>7.1</v>
      </c>
      <c r="G190">
        <v>3500</v>
      </c>
      <c r="H190">
        <v>7.25</v>
      </c>
      <c r="I190">
        <v>116</v>
      </c>
      <c r="J190">
        <v>74</v>
      </c>
      <c r="K190">
        <v>94</v>
      </c>
    </row>
    <row r="191" spans="1:11" x14ac:dyDescent="0.3">
      <c r="A191" t="s">
        <v>396</v>
      </c>
      <c r="B191" t="s">
        <v>397</v>
      </c>
      <c r="C191">
        <v>100</v>
      </c>
      <c r="D191" t="s">
        <v>28</v>
      </c>
      <c r="E191" s="1">
        <v>45352</v>
      </c>
      <c r="F191">
        <v>5.8</v>
      </c>
      <c r="G191">
        <v>1500</v>
      </c>
      <c r="H191">
        <v>5.3920000000000003</v>
      </c>
      <c r="I191">
        <v>37</v>
      </c>
      <c r="J191">
        <v>70</v>
      </c>
      <c r="K191">
        <v>94</v>
      </c>
    </row>
    <row r="192" spans="1:11" x14ac:dyDescent="0.3">
      <c r="A192" t="s">
        <v>398</v>
      </c>
      <c r="B192" t="s">
        <v>399</v>
      </c>
      <c r="C192">
        <v>93</v>
      </c>
      <c r="D192" t="s">
        <v>28</v>
      </c>
      <c r="E192" s="1">
        <v>45317</v>
      </c>
      <c r="F192">
        <v>6.5</v>
      </c>
      <c r="G192">
        <v>16000</v>
      </c>
      <c r="H192">
        <v>6.3239999999999998</v>
      </c>
      <c r="I192">
        <v>182</v>
      </c>
      <c r="J192">
        <v>80</v>
      </c>
      <c r="K192">
        <v>94</v>
      </c>
    </row>
    <row r="193" spans="1:11" x14ac:dyDescent="0.3">
      <c r="A193" t="s">
        <v>400</v>
      </c>
      <c r="B193" t="s">
        <v>401</v>
      </c>
      <c r="C193">
        <v>103</v>
      </c>
      <c r="D193" t="s">
        <v>15</v>
      </c>
      <c r="E193" s="1">
        <v>45268</v>
      </c>
      <c r="F193">
        <v>6.3</v>
      </c>
      <c r="G193">
        <v>1200</v>
      </c>
      <c r="H193">
        <v>6.6</v>
      </c>
      <c r="I193">
        <v>23</v>
      </c>
      <c r="J193">
        <v>74</v>
      </c>
      <c r="K193">
        <v>94</v>
      </c>
    </row>
    <row r="194" spans="1:11" x14ac:dyDescent="0.3">
      <c r="A194" t="s">
        <v>402</v>
      </c>
      <c r="B194" t="s">
        <v>403</v>
      </c>
      <c r="C194">
        <v>91</v>
      </c>
      <c r="D194" t="s">
        <v>25</v>
      </c>
      <c r="E194" s="1">
        <v>45205</v>
      </c>
      <c r="F194">
        <v>6.6</v>
      </c>
      <c r="G194">
        <v>14000</v>
      </c>
      <c r="H194">
        <v>6.3540000000000001</v>
      </c>
      <c r="I194">
        <v>226</v>
      </c>
      <c r="J194">
        <v>80</v>
      </c>
      <c r="K194">
        <v>94</v>
      </c>
    </row>
    <row r="195" spans="1:11" x14ac:dyDescent="0.3">
      <c r="A195" t="s">
        <v>404</v>
      </c>
      <c r="B195" t="s">
        <v>405</v>
      </c>
      <c r="C195">
        <v>84</v>
      </c>
      <c r="D195" t="s">
        <v>18</v>
      </c>
      <c r="E195" s="1">
        <v>45163</v>
      </c>
      <c r="F195">
        <v>6.9</v>
      </c>
      <c r="G195">
        <v>7500</v>
      </c>
      <c r="H195">
        <v>6.6660000000000004</v>
      </c>
      <c r="I195">
        <v>175</v>
      </c>
      <c r="J195">
        <v>74</v>
      </c>
      <c r="K195">
        <v>94</v>
      </c>
    </row>
    <row r="196" spans="1:11" x14ac:dyDescent="0.3">
      <c r="A196" t="s">
        <v>406</v>
      </c>
      <c r="B196" t="s">
        <v>407</v>
      </c>
      <c r="C196">
        <v>83</v>
      </c>
      <c r="D196" t="s">
        <v>63</v>
      </c>
      <c r="E196" s="1">
        <v>45075</v>
      </c>
      <c r="F196">
        <v>6.7</v>
      </c>
      <c r="G196">
        <v>26000</v>
      </c>
      <c r="H196">
        <v>6.4210000000000003</v>
      </c>
      <c r="I196">
        <v>587</v>
      </c>
      <c r="J196">
        <v>84</v>
      </c>
      <c r="K196">
        <v>94</v>
      </c>
    </row>
    <row r="197" spans="1:11" x14ac:dyDescent="0.3">
      <c r="A197" t="s">
        <v>408</v>
      </c>
      <c r="B197" t="s">
        <v>409</v>
      </c>
      <c r="C197">
        <v>101</v>
      </c>
      <c r="D197" t="s">
        <v>63</v>
      </c>
      <c r="E197" s="1">
        <v>45050</v>
      </c>
      <c r="F197">
        <v>7.4</v>
      </c>
      <c r="G197">
        <v>1800</v>
      </c>
      <c r="H197">
        <v>6.7</v>
      </c>
      <c r="I197">
        <v>29</v>
      </c>
      <c r="J197">
        <v>81</v>
      </c>
      <c r="K197">
        <v>94</v>
      </c>
    </row>
    <row r="198" spans="1:11" x14ac:dyDescent="0.3">
      <c r="A198" t="s">
        <v>410</v>
      </c>
      <c r="B198" t="s">
        <v>411</v>
      </c>
      <c r="C198">
        <v>91</v>
      </c>
      <c r="D198" t="s">
        <v>28</v>
      </c>
      <c r="E198" s="1">
        <v>45044</v>
      </c>
      <c r="F198">
        <v>6.9</v>
      </c>
      <c r="G198">
        <v>93000</v>
      </c>
      <c r="H198">
        <v>7.4139999999999997</v>
      </c>
      <c r="I198">
        <v>2776</v>
      </c>
      <c r="J198">
        <v>70</v>
      </c>
      <c r="K198">
        <v>94</v>
      </c>
    </row>
    <row r="199" spans="1:11" x14ac:dyDescent="0.3">
      <c r="A199" t="s">
        <v>412</v>
      </c>
      <c r="B199" t="s">
        <v>413</v>
      </c>
      <c r="C199">
        <v>77</v>
      </c>
      <c r="D199" t="s">
        <v>18</v>
      </c>
      <c r="E199" s="1">
        <v>45016</v>
      </c>
      <c r="F199">
        <v>6.5</v>
      </c>
      <c r="G199">
        <v>5800</v>
      </c>
      <c r="H199">
        <v>6</v>
      </c>
      <c r="I199">
        <v>402</v>
      </c>
      <c r="J199">
        <v>74</v>
      </c>
      <c r="K199">
        <v>94</v>
      </c>
    </row>
    <row r="200" spans="1:11" x14ac:dyDescent="0.3">
      <c r="A200" t="s">
        <v>414</v>
      </c>
      <c r="B200" t="s">
        <v>415</v>
      </c>
      <c r="C200">
        <v>169</v>
      </c>
      <c r="D200" t="s">
        <v>28</v>
      </c>
      <c r="E200" s="1">
        <v>45009</v>
      </c>
      <c r="F200">
        <v>7.6</v>
      </c>
      <c r="G200">
        <v>372000</v>
      </c>
      <c r="H200">
        <v>7.7060000000000004</v>
      </c>
      <c r="I200">
        <v>7825</v>
      </c>
      <c r="J200">
        <v>78</v>
      </c>
      <c r="K200">
        <v>94</v>
      </c>
    </row>
    <row r="201" spans="1:11" x14ac:dyDescent="0.3">
      <c r="A201" t="s">
        <v>416</v>
      </c>
      <c r="B201" t="s">
        <v>417</v>
      </c>
      <c r="C201">
        <v>135</v>
      </c>
      <c r="D201" t="s">
        <v>15</v>
      </c>
      <c r="E201" s="1">
        <v>44820</v>
      </c>
      <c r="F201">
        <v>6.9</v>
      </c>
      <c r="G201">
        <v>79000</v>
      </c>
      <c r="H201">
        <v>7.6139999999999999</v>
      </c>
      <c r="I201">
        <v>2337</v>
      </c>
      <c r="J201">
        <v>76</v>
      </c>
      <c r="K201">
        <v>94</v>
      </c>
    </row>
    <row r="202" spans="1:11" x14ac:dyDescent="0.3">
      <c r="A202" t="s">
        <v>418</v>
      </c>
      <c r="B202" t="s">
        <v>419</v>
      </c>
      <c r="C202">
        <v>100</v>
      </c>
      <c r="D202" t="s">
        <v>28</v>
      </c>
      <c r="E202" s="1">
        <v>44778</v>
      </c>
      <c r="F202">
        <v>7.1</v>
      </c>
      <c r="G202">
        <v>246000</v>
      </c>
      <c r="H202">
        <v>7.6619999999999999</v>
      </c>
      <c r="I202">
        <v>7618</v>
      </c>
      <c r="J202">
        <v>71</v>
      </c>
      <c r="K202">
        <v>94</v>
      </c>
    </row>
    <row r="203" spans="1:11" x14ac:dyDescent="0.3">
      <c r="A203" t="s">
        <v>420</v>
      </c>
      <c r="B203" t="s">
        <v>421</v>
      </c>
      <c r="C203">
        <v>115</v>
      </c>
      <c r="D203" t="s">
        <v>12</v>
      </c>
      <c r="E203" s="1">
        <v>44757</v>
      </c>
      <c r="F203">
        <v>7.1</v>
      </c>
      <c r="G203">
        <v>34000</v>
      </c>
      <c r="H203">
        <v>7.32</v>
      </c>
      <c r="I203">
        <v>495</v>
      </c>
      <c r="J203">
        <v>70</v>
      </c>
      <c r="K203">
        <v>94</v>
      </c>
    </row>
    <row r="204" spans="1:11" x14ac:dyDescent="0.3">
      <c r="A204" t="s">
        <v>422</v>
      </c>
      <c r="B204" t="s">
        <v>423</v>
      </c>
      <c r="C204">
        <v>115</v>
      </c>
      <c r="D204" t="s">
        <v>12</v>
      </c>
      <c r="E204" s="1">
        <v>44750</v>
      </c>
      <c r="F204">
        <v>7</v>
      </c>
      <c r="G204">
        <v>62000</v>
      </c>
      <c r="H204">
        <v>7.3250000000000002</v>
      </c>
      <c r="I204">
        <v>1678</v>
      </c>
      <c r="J204">
        <v>74</v>
      </c>
      <c r="K204">
        <v>94</v>
      </c>
    </row>
    <row r="205" spans="1:11" x14ac:dyDescent="0.3">
      <c r="A205" t="s">
        <v>424</v>
      </c>
      <c r="B205" t="s">
        <v>425</v>
      </c>
      <c r="C205">
        <v>97</v>
      </c>
      <c r="D205" t="s">
        <v>28</v>
      </c>
      <c r="E205" s="1">
        <v>44729</v>
      </c>
      <c r="F205">
        <v>7.2</v>
      </c>
      <c r="G205">
        <v>41000</v>
      </c>
      <c r="H205">
        <v>6.9550000000000001</v>
      </c>
      <c r="I205">
        <v>652</v>
      </c>
      <c r="J205">
        <v>78</v>
      </c>
      <c r="K205">
        <v>94</v>
      </c>
    </row>
    <row r="206" spans="1:11" x14ac:dyDescent="0.3">
      <c r="A206" t="s">
        <v>426</v>
      </c>
      <c r="B206" t="s">
        <v>427</v>
      </c>
      <c r="C206">
        <v>117</v>
      </c>
      <c r="D206" t="s">
        <v>28</v>
      </c>
      <c r="E206" s="1">
        <v>44720</v>
      </c>
      <c r="F206">
        <v>7.3</v>
      </c>
      <c r="G206">
        <v>154000</v>
      </c>
      <c r="H206">
        <v>7.7039999999999997</v>
      </c>
      <c r="I206">
        <v>2796</v>
      </c>
      <c r="J206">
        <v>68</v>
      </c>
      <c r="K206">
        <v>94</v>
      </c>
    </row>
    <row r="207" spans="1:11" x14ac:dyDescent="0.3">
      <c r="A207" t="s">
        <v>428</v>
      </c>
      <c r="B207" t="s">
        <v>429</v>
      </c>
      <c r="C207">
        <v>129</v>
      </c>
      <c r="D207" t="s">
        <v>28</v>
      </c>
      <c r="E207" s="1">
        <v>44720</v>
      </c>
      <c r="F207">
        <v>7.1</v>
      </c>
      <c r="G207">
        <v>19000</v>
      </c>
      <c r="H207">
        <v>7.2</v>
      </c>
      <c r="I207">
        <v>538</v>
      </c>
      <c r="J207">
        <v>77</v>
      </c>
      <c r="K207">
        <v>94</v>
      </c>
    </row>
    <row r="208" spans="1:11" x14ac:dyDescent="0.3">
      <c r="A208" t="s">
        <v>430</v>
      </c>
      <c r="B208" t="s">
        <v>431</v>
      </c>
      <c r="C208">
        <v>105</v>
      </c>
      <c r="D208" t="s">
        <v>28</v>
      </c>
      <c r="E208" s="1">
        <v>44715</v>
      </c>
      <c r="F208">
        <v>6.7</v>
      </c>
      <c r="G208">
        <v>15000</v>
      </c>
      <c r="H208">
        <v>7</v>
      </c>
      <c r="I208">
        <v>273</v>
      </c>
      <c r="J208">
        <v>72</v>
      </c>
      <c r="K208">
        <v>94</v>
      </c>
    </row>
    <row r="209" spans="1:11" x14ac:dyDescent="0.3">
      <c r="A209" t="s">
        <v>432</v>
      </c>
      <c r="B209" t="s">
        <v>433</v>
      </c>
      <c r="C209">
        <v>105</v>
      </c>
      <c r="D209" t="s">
        <v>28</v>
      </c>
      <c r="E209" s="1">
        <v>44638</v>
      </c>
      <c r="F209">
        <v>6.5</v>
      </c>
      <c r="G209">
        <v>206000</v>
      </c>
      <c r="H209">
        <v>6.72</v>
      </c>
      <c r="I209">
        <v>3902</v>
      </c>
      <c r="J209">
        <v>80</v>
      </c>
      <c r="K209">
        <v>94</v>
      </c>
    </row>
    <row r="210" spans="1:11" x14ac:dyDescent="0.3">
      <c r="A210" t="s">
        <v>434</v>
      </c>
      <c r="B210" t="s">
        <v>435</v>
      </c>
      <c r="C210">
        <v>116</v>
      </c>
      <c r="D210" t="s">
        <v>28</v>
      </c>
      <c r="E210" s="1">
        <v>45765</v>
      </c>
      <c r="F210">
        <v>6.8</v>
      </c>
      <c r="G210">
        <v>39000</v>
      </c>
      <c r="H210">
        <v>6.6</v>
      </c>
      <c r="I210">
        <v>856</v>
      </c>
      <c r="J210">
        <v>75</v>
      </c>
      <c r="K210">
        <v>93</v>
      </c>
    </row>
    <row r="211" spans="1:11" x14ac:dyDescent="0.3">
      <c r="A211" t="s">
        <v>436</v>
      </c>
      <c r="B211" t="s">
        <v>437</v>
      </c>
      <c r="C211">
        <v>106</v>
      </c>
      <c r="D211" t="s">
        <v>12</v>
      </c>
      <c r="E211" s="1">
        <v>45702</v>
      </c>
      <c r="F211">
        <v>6.7</v>
      </c>
      <c r="G211">
        <v>18000</v>
      </c>
      <c r="H211">
        <v>6.8159999999999998</v>
      </c>
      <c r="I211">
        <v>667</v>
      </c>
      <c r="J211">
        <v>65</v>
      </c>
      <c r="K211">
        <v>93</v>
      </c>
    </row>
    <row r="212" spans="1:11" x14ac:dyDescent="0.3">
      <c r="A212" t="s">
        <v>438</v>
      </c>
      <c r="B212" t="s">
        <v>439</v>
      </c>
      <c r="C212">
        <v>95</v>
      </c>
      <c r="D212" t="s">
        <v>25</v>
      </c>
      <c r="E212" s="1">
        <v>45693</v>
      </c>
      <c r="F212">
        <v>6.5</v>
      </c>
      <c r="G212">
        <v>900</v>
      </c>
      <c r="H212">
        <v>6.8</v>
      </c>
      <c r="I212">
        <v>15</v>
      </c>
      <c r="J212">
        <v>83</v>
      </c>
      <c r="K212">
        <v>93</v>
      </c>
    </row>
    <row r="213" spans="1:11" x14ac:dyDescent="0.3">
      <c r="A213" t="s">
        <v>440</v>
      </c>
      <c r="B213" t="s">
        <v>441</v>
      </c>
      <c r="C213">
        <v>97</v>
      </c>
      <c r="D213" t="s">
        <v>28</v>
      </c>
      <c r="E213" s="1">
        <v>45688</v>
      </c>
      <c r="F213">
        <v>7</v>
      </c>
      <c r="G213">
        <v>67000</v>
      </c>
      <c r="H213">
        <v>7.0090000000000003</v>
      </c>
      <c r="I213">
        <v>2203</v>
      </c>
      <c r="J213">
        <v>70</v>
      </c>
      <c r="K213">
        <v>93</v>
      </c>
    </row>
    <row r="214" spans="1:11" x14ac:dyDescent="0.3">
      <c r="A214" t="s">
        <v>442</v>
      </c>
      <c r="B214" t="s">
        <v>443</v>
      </c>
      <c r="C214">
        <v>216</v>
      </c>
      <c r="D214" t="s">
        <v>28</v>
      </c>
      <c r="E214" s="1">
        <v>45681</v>
      </c>
      <c r="F214">
        <v>7.5</v>
      </c>
      <c r="G214">
        <v>72000</v>
      </c>
      <c r="H214">
        <v>6.9630000000000001</v>
      </c>
      <c r="I214">
        <v>1604</v>
      </c>
      <c r="J214">
        <v>90</v>
      </c>
      <c r="K214">
        <v>93</v>
      </c>
    </row>
    <row r="215" spans="1:11" x14ac:dyDescent="0.3">
      <c r="A215" t="s">
        <v>444</v>
      </c>
      <c r="B215" t="s">
        <v>445</v>
      </c>
      <c r="C215">
        <v>109</v>
      </c>
      <c r="D215" t="s">
        <v>15</v>
      </c>
      <c r="E215" s="1">
        <v>45651</v>
      </c>
      <c r="F215">
        <v>6.7</v>
      </c>
      <c r="G215">
        <v>2200</v>
      </c>
      <c r="H215">
        <v>7.3</v>
      </c>
      <c r="I215">
        <v>68</v>
      </c>
      <c r="J215">
        <v>76</v>
      </c>
      <c r="K215">
        <v>93</v>
      </c>
    </row>
    <row r="216" spans="1:11" x14ac:dyDescent="0.3">
      <c r="A216" t="s">
        <v>446</v>
      </c>
      <c r="B216" t="s">
        <v>447</v>
      </c>
      <c r="C216">
        <v>114</v>
      </c>
      <c r="D216" t="s">
        <v>15</v>
      </c>
      <c r="E216" s="1">
        <v>45646</v>
      </c>
      <c r="F216">
        <v>7</v>
      </c>
      <c r="G216">
        <v>93000</v>
      </c>
      <c r="H216">
        <v>6.883</v>
      </c>
      <c r="I216">
        <v>2418</v>
      </c>
      <c r="J216">
        <v>72</v>
      </c>
      <c r="K216">
        <v>93</v>
      </c>
    </row>
    <row r="217" spans="1:11" x14ac:dyDescent="0.3">
      <c r="A217" t="s">
        <v>448</v>
      </c>
      <c r="B217" t="s">
        <v>449</v>
      </c>
      <c r="C217">
        <v>139</v>
      </c>
      <c r="D217" t="s">
        <v>28</v>
      </c>
      <c r="E217" s="1">
        <v>45604</v>
      </c>
      <c r="F217">
        <v>7.6</v>
      </c>
      <c r="G217">
        <v>162000</v>
      </c>
      <c r="H217">
        <v>7.1</v>
      </c>
      <c r="I217">
        <v>3081</v>
      </c>
      <c r="J217">
        <v>91</v>
      </c>
      <c r="K217">
        <v>93</v>
      </c>
    </row>
    <row r="218" spans="1:11" x14ac:dyDescent="0.3">
      <c r="A218" t="s">
        <v>450</v>
      </c>
      <c r="B218" t="s">
        <v>451</v>
      </c>
      <c r="C218">
        <v>98</v>
      </c>
      <c r="D218" t="s">
        <v>15</v>
      </c>
      <c r="E218" s="1">
        <v>45604</v>
      </c>
      <c r="F218">
        <v>6.8</v>
      </c>
      <c r="G218">
        <v>21000</v>
      </c>
      <c r="H218">
        <v>6.6619999999999999</v>
      </c>
      <c r="I218">
        <v>521</v>
      </c>
      <c r="J218">
        <v>82</v>
      </c>
      <c r="K218">
        <v>93</v>
      </c>
    </row>
    <row r="219" spans="1:11" x14ac:dyDescent="0.3">
      <c r="A219" t="s">
        <v>452</v>
      </c>
      <c r="B219" t="s">
        <v>453</v>
      </c>
      <c r="C219">
        <v>120</v>
      </c>
      <c r="D219" t="s">
        <v>12</v>
      </c>
      <c r="E219" s="1">
        <v>45590</v>
      </c>
      <c r="F219">
        <v>7.4</v>
      </c>
      <c r="G219">
        <v>136000</v>
      </c>
      <c r="H219">
        <v>7.2</v>
      </c>
      <c r="I219">
        <v>3323</v>
      </c>
      <c r="J219">
        <v>79</v>
      </c>
      <c r="K219">
        <v>93</v>
      </c>
    </row>
    <row r="220" spans="1:11" x14ac:dyDescent="0.3">
      <c r="A220" t="s">
        <v>454</v>
      </c>
      <c r="B220" t="s">
        <v>455</v>
      </c>
      <c r="C220">
        <v>112</v>
      </c>
      <c r="D220" t="s">
        <v>28</v>
      </c>
      <c r="E220" s="1">
        <v>45569</v>
      </c>
      <c r="F220">
        <v>6.9</v>
      </c>
      <c r="G220">
        <v>28000</v>
      </c>
      <c r="H220">
        <v>6.9279999999999999</v>
      </c>
      <c r="I220">
        <v>425</v>
      </c>
      <c r="J220">
        <v>78</v>
      </c>
      <c r="K220">
        <v>93</v>
      </c>
    </row>
    <row r="221" spans="1:11" x14ac:dyDescent="0.3">
      <c r="A221" t="s">
        <v>456</v>
      </c>
      <c r="B221" t="s">
        <v>457</v>
      </c>
      <c r="C221">
        <v>119</v>
      </c>
      <c r="D221" t="s">
        <v>18</v>
      </c>
      <c r="E221" s="1">
        <v>45554</v>
      </c>
      <c r="F221">
        <v>6.9</v>
      </c>
      <c r="G221">
        <v>3700</v>
      </c>
      <c r="H221">
        <v>7.0579999999999998</v>
      </c>
      <c r="I221">
        <v>308</v>
      </c>
      <c r="J221">
        <v>85</v>
      </c>
      <c r="K221">
        <v>93</v>
      </c>
    </row>
    <row r="222" spans="1:11" x14ac:dyDescent="0.3">
      <c r="A222" t="s">
        <v>458</v>
      </c>
      <c r="B222" t="s">
        <v>459</v>
      </c>
      <c r="C222">
        <v>121</v>
      </c>
      <c r="D222" t="s">
        <v>28</v>
      </c>
      <c r="E222" s="1">
        <v>45534</v>
      </c>
      <c r="F222">
        <v>7.4</v>
      </c>
      <c r="G222">
        <v>5300</v>
      </c>
      <c r="H222">
        <v>7.4</v>
      </c>
      <c r="I222">
        <v>110</v>
      </c>
      <c r="J222">
        <v>74</v>
      </c>
      <c r="K222">
        <v>93</v>
      </c>
    </row>
    <row r="223" spans="1:11" x14ac:dyDescent="0.3">
      <c r="A223" t="s">
        <v>460</v>
      </c>
      <c r="B223" t="s">
        <v>461</v>
      </c>
      <c r="C223">
        <v>105</v>
      </c>
      <c r="D223" t="s">
        <v>15</v>
      </c>
      <c r="E223" s="1">
        <v>45342</v>
      </c>
      <c r="F223">
        <v>7.3</v>
      </c>
      <c r="G223">
        <v>132000</v>
      </c>
      <c r="H223">
        <v>7.0119999999999996</v>
      </c>
      <c r="I223">
        <v>2550</v>
      </c>
      <c r="J223">
        <v>92</v>
      </c>
      <c r="K223">
        <v>93</v>
      </c>
    </row>
    <row r="224" spans="1:11" x14ac:dyDescent="0.3">
      <c r="A224" t="s">
        <v>462</v>
      </c>
      <c r="B224" t="s">
        <v>463</v>
      </c>
      <c r="C224">
        <v>117</v>
      </c>
      <c r="D224" t="s">
        <v>28</v>
      </c>
      <c r="E224" s="1">
        <v>45282</v>
      </c>
      <c r="F224">
        <v>7.5</v>
      </c>
      <c r="G224">
        <v>110000</v>
      </c>
      <c r="H224">
        <v>7.2649999999999997</v>
      </c>
      <c r="I224">
        <v>1305</v>
      </c>
      <c r="J224">
        <v>81</v>
      </c>
      <c r="K224">
        <v>93</v>
      </c>
    </row>
    <row r="225" spans="1:11" x14ac:dyDescent="0.3">
      <c r="A225" t="s">
        <v>464</v>
      </c>
      <c r="B225" t="s">
        <v>465</v>
      </c>
      <c r="C225">
        <v>206</v>
      </c>
      <c r="D225" t="s">
        <v>28</v>
      </c>
      <c r="E225" s="1">
        <v>45219</v>
      </c>
      <c r="F225">
        <v>7.6</v>
      </c>
      <c r="G225">
        <v>279000</v>
      </c>
      <c r="H225">
        <v>7.399</v>
      </c>
      <c r="I225">
        <v>4065</v>
      </c>
      <c r="J225">
        <v>89</v>
      </c>
      <c r="K225">
        <v>93</v>
      </c>
    </row>
    <row r="226" spans="1:11" x14ac:dyDescent="0.3">
      <c r="A226" t="s">
        <v>466</v>
      </c>
      <c r="B226" t="s">
        <v>467</v>
      </c>
      <c r="C226">
        <v>93</v>
      </c>
      <c r="D226" t="s">
        <v>12</v>
      </c>
      <c r="E226" s="1">
        <v>45210</v>
      </c>
      <c r="F226">
        <v>6.8</v>
      </c>
      <c r="G226">
        <v>1200</v>
      </c>
      <c r="H226">
        <v>6.7</v>
      </c>
      <c r="I226">
        <v>34</v>
      </c>
      <c r="J226">
        <v>76</v>
      </c>
      <c r="K226">
        <v>93</v>
      </c>
    </row>
    <row r="227" spans="1:11" x14ac:dyDescent="0.3">
      <c r="A227" t="s">
        <v>468</v>
      </c>
      <c r="B227" t="s">
        <v>469</v>
      </c>
      <c r="C227">
        <v>123</v>
      </c>
      <c r="D227" t="s">
        <v>28</v>
      </c>
      <c r="E227" s="1">
        <v>45191</v>
      </c>
      <c r="F227">
        <v>6.6</v>
      </c>
      <c r="G227">
        <v>2000</v>
      </c>
      <c r="H227">
        <v>6.4260000000000002</v>
      </c>
      <c r="I227">
        <v>156</v>
      </c>
      <c r="J227">
        <v>68</v>
      </c>
      <c r="K227">
        <v>93</v>
      </c>
    </row>
    <row r="228" spans="1:11" x14ac:dyDescent="0.3">
      <c r="A228" t="s">
        <v>470</v>
      </c>
      <c r="B228" t="s">
        <v>471</v>
      </c>
      <c r="C228">
        <v>180</v>
      </c>
      <c r="D228" t="s">
        <v>28</v>
      </c>
      <c r="E228" s="1">
        <v>45128</v>
      </c>
      <c r="F228">
        <v>8.3000000000000007</v>
      </c>
      <c r="G228">
        <v>869000</v>
      </c>
      <c r="H228">
        <v>8</v>
      </c>
      <c r="I228">
        <v>11599</v>
      </c>
      <c r="J228">
        <v>90</v>
      </c>
      <c r="K228">
        <v>93</v>
      </c>
    </row>
    <row r="229" spans="1:11" x14ac:dyDescent="0.3">
      <c r="A229" t="s">
        <v>472</v>
      </c>
      <c r="B229" t="s">
        <v>473</v>
      </c>
      <c r="C229">
        <v>111</v>
      </c>
      <c r="D229" t="s">
        <v>28</v>
      </c>
      <c r="E229" s="1">
        <v>45021</v>
      </c>
      <c r="F229">
        <v>7.4</v>
      </c>
      <c r="G229">
        <v>182000</v>
      </c>
      <c r="H229">
        <v>7.2839999999999998</v>
      </c>
      <c r="I229">
        <v>2290</v>
      </c>
      <c r="J229">
        <v>73</v>
      </c>
      <c r="K229">
        <v>93</v>
      </c>
    </row>
    <row r="230" spans="1:11" x14ac:dyDescent="0.3">
      <c r="A230" t="s">
        <v>474</v>
      </c>
      <c r="B230" t="s">
        <v>475</v>
      </c>
      <c r="C230">
        <v>102</v>
      </c>
      <c r="D230" t="s">
        <v>15</v>
      </c>
      <c r="E230" s="1">
        <v>44932</v>
      </c>
      <c r="F230">
        <v>6.3</v>
      </c>
      <c r="G230">
        <v>161000</v>
      </c>
      <c r="H230">
        <v>7.0270000000000001</v>
      </c>
      <c r="I230">
        <v>4749</v>
      </c>
      <c r="J230">
        <v>72</v>
      </c>
      <c r="K230">
        <v>93</v>
      </c>
    </row>
    <row r="231" spans="1:11" x14ac:dyDescent="0.3">
      <c r="A231" t="s">
        <v>476</v>
      </c>
      <c r="B231" t="s">
        <v>477</v>
      </c>
      <c r="C231">
        <v>129</v>
      </c>
      <c r="D231" t="s">
        <v>15</v>
      </c>
      <c r="E231" s="1">
        <v>44869</v>
      </c>
      <c r="F231">
        <v>6.8</v>
      </c>
      <c r="G231">
        <v>109000</v>
      </c>
      <c r="H231">
        <v>7.3040000000000003</v>
      </c>
      <c r="I231">
        <v>1782</v>
      </c>
      <c r="J231">
        <v>64</v>
      </c>
      <c r="K231">
        <v>93</v>
      </c>
    </row>
    <row r="232" spans="1:11" x14ac:dyDescent="0.3">
      <c r="A232" t="s">
        <v>478</v>
      </c>
      <c r="B232" t="s">
        <v>479</v>
      </c>
      <c r="C232">
        <v>119</v>
      </c>
      <c r="D232" t="s">
        <v>28</v>
      </c>
      <c r="E232" s="1">
        <v>44841</v>
      </c>
      <c r="F232">
        <v>7.1</v>
      </c>
      <c r="G232">
        <v>19000</v>
      </c>
      <c r="H232">
        <v>7.0190000000000001</v>
      </c>
      <c r="I232">
        <v>238</v>
      </c>
      <c r="J232">
        <v>84</v>
      </c>
      <c r="K232">
        <v>93</v>
      </c>
    </row>
    <row r="233" spans="1:11" x14ac:dyDescent="0.3">
      <c r="A233" t="s">
        <v>480</v>
      </c>
      <c r="B233" t="s">
        <v>481</v>
      </c>
      <c r="C233">
        <v>112</v>
      </c>
      <c r="D233" t="s">
        <v>28</v>
      </c>
      <c r="E233" s="1">
        <v>44839</v>
      </c>
      <c r="F233">
        <v>6.9</v>
      </c>
      <c r="G233">
        <v>8100</v>
      </c>
      <c r="H233">
        <v>6.4279999999999999</v>
      </c>
      <c r="I233">
        <v>166</v>
      </c>
      <c r="J233">
        <v>86</v>
      </c>
      <c r="K233">
        <v>93</v>
      </c>
    </row>
    <row r="234" spans="1:11" x14ac:dyDescent="0.3">
      <c r="A234" t="s">
        <v>482</v>
      </c>
      <c r="B234" t="s">
        <v>483</v>
      </c>
      <c r="C234">
        <v>103</v>
      </c>
      <c r="D234" t="s">
        <v>28</v>
      </c>
      <c r="E234" s="1">
        <v>44820</v>
      </c>
      <c r="F234">
        <v>7</v>
      </c>
      <c r="G234">
        <v>137000</v>
      </c>
      <c r="H234">
        <v>7.2329999999999997</v>
      </c>
      <c r="I234">
        <v>2519</v>
      </c>
      <c r="J234">
        <v>76</v>
      </c>
      <c r="K234">
        <v>93</v>
      </c>
    </row>
    <row r="235" spans="1:11" x14ac:dyDescent="0.3">
      <c r="A235" t="s">
        <v>484</v>
      </c>
      <c r="B235" t="s">
        <v>485</v>
      </c>
      <c r="C235">
        <v>97</v>
      </c>
      <c r="D235" t="s">
        <v>28</v>
      </c>
      <c r="E235" s="1">
        <v>44785</v>
      </c>
      <c r="F235">
        <v>6.7</v>
      </c>
      <c r="G235">
        <v>63000</v>
      </c>
      <c r="H235">
        <v>6.6740000000000004</v>
      </c>
      <c r="I235">
        <v>991</v>
      </c>
      <c r="J235">
        <v>75</v>
      </c>
      <c r="K235">
        <v>93</v>
      </c>
    </row>
    <row r="236" spans="1:11" x14ac:dyDescent="0.3">
      <c r="A236" t="s">
        <v>486</v>
      </c>
      <c r="B236" t="s">
        <v>487</v>
      </c>
      <c r="C236">
        <v>127</v>
      </c>
      <c r="D236" t="s">
        <v>18</v>
      </c>
      <c r="E236" s="1">
        <v>44764</v>
      </c>
      <c r="F236">
        <v>7.9</v>
      </c>
      <c r="G236">
        <v>1500</v>
      </c>
      <c r="H236">
        <v>6.84</v>
      </c>
      <c r="I236">
        <v>25</v>
      </c>
      <c r="J236">
        <v>70</v>
      </c>
      <c r="K236">
        <v>93</v>
      </c>
    </row>
    <row r="237" spans="1:11" x14ac:dyDescent="0.3">
      <c r="A237" t="s">
        <v>488</v>
      </c>
      <c r="B237" t="s">
        <v>489</v>
      </c>
      <c r="C237">
        <v>108</v>
      </c>
      <c r="D237" t="s">
        <v>28</v>
      </c>
      <c r="E237" s="1">
        <v>44697</v>
      </c>
      <c r="F237">
        <v>6.4</v>
      </c>
      <c r="G237">
        <v>13000</v>
      </c>
      <c r="H237">
        <v>6.6</v>
      </c>
      <c r="I237">
        <v>351</v>
      </c>
      <c r="J237">
        <v>82</v>
      </c>
      <c r="K237">
        <v>93</v>
      </c>
    </row>
    <row r="238" spans="1:11" x14ac:dyDescent="0.3">
      <c r="A238" t="s">
        <v>490</v>
      </c>
      <c r="B238" t="s">
        <v>491</v>
      </c>
      <c r="C238">
        <v>94</v>
      </c>
      <c r="D238" t="s">
        <v>28</v>
      </c>
      <c r="E238" s="1">
        <v>44682</v>
      </c>
      <c r="F238">
        <v>6.3</v>
      </c>
      <c r="G238">
        <v>1500</v>
      </c>
      <c r="H238">
        <v>5.8</v>
      </c>
      <c r="I238">
        <v>29</v>
      </c>
      <c r="J238">
        <v>77</v>
      </c>
      <c r="K238">
        <v>93</v>
      </c>
    </row>
    <row r="239" spans="1:11" x14ac:dyDescent="0.3">
      <c r="A239" t="s">
        <v>492</v>
      </c>
      <c r="B239" t="s">
        <v>493</v>
      </c>
      <c r="C239">
        <v>139</v>
      </c>
      <c r="D239" t="s">
        <v>28</v>
      </c>
      <c r="E239" s="1">
        <v>44659</v>
      </c>
      <c r="F239">
        <v>7.8</v>
      </c>
      <c r="G239">
        <v>576000</v>
      </c>
      <c r="H239">
        <v>7.72</v>
      </c>
      <c r="I239">
        <v>7834</v>
      </c>
      <c r="J239">
        <v>81</v>
      </c>
      <c r="K239">
        <v>93</v>
      </c>
    </row>
    <row r="240" spans="1:11" x14ac:dyDescent="0.3">
      <c r="A240" t="s">
        <v>494</v>
      </c>
      <c r="B240" t="s">
        <v>495</v>
      </c>
      <c r="C240">
        <v>140</v>
      </c>
      <c r="D240" t="s">
        <v>15</v>
      </c>
      <c r="E240" s="1">
        <v>45716</v>
      </c>
      <c r="F240">
        <v>7</v>
      </c>
      <c r="G240">
        <v>17000</v>
      </c>
      <c r="H240">
        <v>6.6449999999999996</v>
      </c>
      <c r="I240">
        <v>339</v>
      </c>
      <c r="J240">
        <v>91</v>
      </c>
      <c r="K240">
        <v>92</v>
      </c>
    </row>
    <row r="241" spans="1:11" x14ac:dyDescent="0.3">
      <c r="A241" t="s">
        <v>496</v>
      </c>
      <c r="B241" t="s">
        <v>497</v>
      </c>
      <c r="C241">
        <v>143</v>
      </c>
      <c r="D241" t="s">
        <v>18</v>
      </c>
      <c r="E241" s="1">
        <v>45686</v>
      </c>
      <c r="F241">
        <v>8.1999999999999993</v>
      </c>
      <c r="G241">
        <v>9000</v>
      </c>
      <c r="H241">
        <v>8.1180000000000003</v>
      </c>
      <c r="I241">
        <v>646</v>
      </c>
      <c r="J241">
        <v>59</v>
      </c>
      <c r="K241">
        <v>92</v>
      </c>
    </row>
    <row r="242" spans="1:11" x14ac:dyDescent="0.3">
      <c r="A242" t="s">
        <v>498</v>
      </c>
      <c r="B242" t="s">
        <v>499</v>
      </c>
      <c r="C242">
        <v>101</v>
      </c>
      <c r="D242" t="s">
        <v>12</v>
      </c>
      <c r="E242" s="1">
        <v>45681</v>
      </c>
      <c r="F242">
        <v>7.1</v>
      </c>
      <c r="G242">
        <v>845</v>
      </c>
      <c r="H242">
        <v>6.9169999999999998</v>
      </c>
      <c r="I242">
        <v>60</v>
      </c>
      <c r="J242">
        <v>76</v>
      </c>
      <c r="K242">
        <v>92</v>
      </c>
    </row>
    <row r="243" spans="1:11" x14ac:dyDescent="0.3">
      <c r="A243" t="s">
        <v>500</v>
      </c>
      <c r="B243" t="s">
        <v>501</v>
      </c>
      <c r="C243">
        <v>123</v>
      </c>
      <c r="D243" t="s">
        <v>25</v>
      </c>
      <c r="E243" s="1">
        <v>45681</v>
      </c>
      <c r="F243">
        <v>7.5</v>
      </c>
      <c r="G243">
        <v>12000</v>
      </c>
      <c r="H243">
        <v>7.5880000000000001</v>
      </c>
      <c r="I243">
        <v>345</v>
      </c>
      <c r="J243">
        <v>82</v>
      </c>
      <c r="K243">
        <v>92</v>
      </c>
    </row>
    <row r="244" spans="1:11" x14ac:dyDescent="0.3">
      <c r="A244" t="s">
        <v>502</v>
      </c>
      <c r="B244" s="2">
        <v>46270</v>
      </c>
      <c r="C244">
        <v>95</v>
      </c>
      <c r="D244" t="s">
        <v>28</v>
      </c>
      <c r="E244" s="1">
        <v>45674</v>
      </c>
      <c r="F244">
        <v>7.1</v>
      </c>
      <c r="G244">
        <v>21000</v>
      </c>
      <c r="H244">
        <v>7.0149999999999997</v>
      </c>
      <c r="I244">
        <v>540</v>
      </c>
      <c r="J244">
        <v>76</v>
      </c>
      <c r="K244">
        <v>92</v>
      </c>
    </row>
    <row r="245" spans="1:11" x14ac:dyDescent="0.3">
      <c r="A245" t="s">
        <v>503</v>
      </c>
      <c r="B245" t="s">
        <v>504</v>
      </c>
      <c r="C245">
        <v>99</v>
      </c>
      <c r="D245" t="s">
        <v>12</v>
      </c>
      <c r="E245" s="1">
        <v>45604</v>
      </c>
      <c r="F245">
        <v>6.8</v>
      </c>
      <c r="G245">
        <v>6000</v>
      </c>
      <c r="H245">
        <v>6.9189999999999996</v>
      </c>
      <c r="I245">
        <v>123</v>
      </c>
      <c r="J245">
        <v>60</v>
      </c>
      <c r="K245">
        <v>92</v>
      </c>
    </row>
    <row r="246" spans="1:11" x14ac:dyDescent="0.3">
      <c r="A246" t="s">
        <v>505</v>
      </c>
      <c r="B246" t="s">
        <v>506</v>
      </c>
      <c r="C246">
        <v>144</v>
      </c>
      <c r="D246" t="s">
        <v>63</v>
      </c>
      <c r="E246" s="1">
        <v>45582</v>
      </c>
      <c r="F246">
        <v>6.5</v>
      </c>
      <c r="G246">
        <v>9000</v>
      </c>
      <c r="H246">
        <v>7.2</v>
      </c>
      <c r="I246">
        <v>309</v>
      </c>
      <c r="J246">
        <v>73</v>
      </c>
      <c r="K246">
        <v>92</v>
      </c>
    </row>
    <row r="247" spans="1:11" x14ac:dyDescent="0.3">
      <c r="A247" t="s">
        <v>507</v>
      </c>
      <c r="B247" t="s">
        <v>508</v>
      </c>
      <c r="C247">
        <v>83</v>
      </c>
      <c r="D247" t="s">
        <v>28</v>
      </c>
      <c r="E247" s="1">
        <v>45517</v>
      </c>
      <c r="F247">
        <v>7</v>
      </c>
      <c r="G247">
        <v>6300</v>
      </c>
      <c r="H247">
        <v>7.383</v>
      </c>
      <c r="I247">
        <v>222</v>
      </c>
      <c r="J247">
        <v>71</v>
      </c>
      <c r="K247">
        <v>92</v>
      </c>
    </row>
    <row r="248" spans="1:11" x14ac:dyDescent="0.3">
      <c r="A248" t="s">
        <v>509</v>
      </c>
      <c r="B248" t="s">
        <v>510</v>
      </c>
      <c r="C248">
        <v>197</v>
      </c>
      <c r="D248" t="s">
        <v>18</v>
      </c>
      <c r="E248" s="1">
        <v>45433</v>
      </c>
      <c r="F248">
        <v>7.7</v>
      </c>
      <c r="G248">
        <v>17000</v>
      </c>
      <c r="H248">
        <v>7.657</v>
      </c>
      <c r="I248">
        <v>162</v>
      </c>
      <c r="J248">
        <v>88</v>
      </c>
      <c r="K248">
        <v>92</v>
      </c>
    </row>
    <row r="249" spans="1:11" x14ac:dyDescent="0.3">
      <c r="A249" t="s">
        <v>511</v>
      </c>
      <c r="B249" t="s">
        <v>512</v>
      </c>
      <c r="C249">
        <v>166</v>
      </c>
      <c r="D249" t="s">
        <v>15</v>
      </c>
      <c r="E249" s="1">
        <v>45352</v>
      </c>
      <c r="F249">
        <v>8.5</v>
      </c>
      <c r="G249">
        <v>615000</v>
      </c>
      <c r="H249">
        <v>8.1289999999999996</v>
      </c>
      <c r="I249">
        <v>7787</v>
      </c>
      <c r="J249">
        <v>79</v>
      </c>
      <c r="K249">
        <v>92</v>
      </c>
    </row>
    <row r="250" spans="1:11" x14ac:dyDescent="0.3">
      <c r="A250" t="s">
        <v>513</v>
      </c>
      <c r="B250" t="s">
        <v>514</v>
      </c>
      <c r="C250">
        <v>141</v>
      </c>
      <c r="D250" t="s">
        <v>28</v>
      </c>
      <c r="E250" s="1">
        <v>45282</v>
      </c>
      <c r="F250">
        <v>7.8</v>
      </c>
      <c r="G250">
        <v>336000</v>
      </c>
      <c r="H250">
        <v>7.6479999999999997</v>
      </c>
      <c r="I250">
        <v>5416</v>
      </c>
      <c r="J250">
        <v>88</v>
      </c>
      <c r="K250">
        <v>92</v>
      </c>
    </row>
    <row r="251" spans="1:11" x14ac:dyDescent="0.3">
      <c r="A251" t="s">
        <v>515</v>
      </c>
      <c r="B251" t="s">
        <v>516</v>
      </c>
      <c r="C251">
        <v>97</v>
      </c>
      <c r="D251" t="s">
        <v>160</v>
      </c>
      <c r="E251" s="1">
        <v>45268</v>
      </c>
      <c r="F251">
        <v>6.7</v>
      </c>
      <c r="G251">
        <v>11000</v>
      </c>
      <c r="H251">
        <v>6.9</v>
      </c>
      <c r="I251">
        <v>231</v>
      </c>
      <c r="J251">
        <v>65</v>
      </c>
      <c r="K251">
        <v>92</v>
      </c>
    </row>
    <row r="252" spans="1:11" x14ac:dyDescent="0.3">
      <c r="A252" t="s">
        <v>517</v>
      </c>
      <c r="B252" t="s">
        <v>518</v>
      </c>
      <c r="C252">
        <v>117</v>
      </c>
      <c r="D252" t="s">
        <v>28</v>
      </c>
      <c r="E252" s="1">
        <v>45118</v>
      </c>
      <c r="F252">
        <v>6.7</v>
      </c>
      <c r="G252">
        <v>2800</v>
      </c>
      <c r="H252">
        <v>6.4</v>
      </c>
      <c r="I252">
        <v>75</v>
      </c>
      <c r="J252">
        <v>78</v>
      </c>
      <c r="K252">
        <v>92</v>
      </c>
    </row>
    <row r="253" spans="1:11" x14ac:dyDescent="0.3">
      <c r="A253" t="s">
        <v>519</v>
      </c>
      <c r="B253" t="s">
        <v>520</v>
      </c>
      <c r="C253">
        <v>101</v>
      </c>
      <c r="D253" t="s">
        <v>12</v>
      </c>
      <c r="E253" s="1">
        <v>45107</v>
      </c>
      <c r="F253">
        <v>7.5</v>
      </c>
      <c r="G253">
        <v>56000</v>
      </c>
      <c r="H253">
        <v>7.9</v>
      </c>
      <c r="I253">
        <v>1358</v>
      </c>
      <c r="J253">
        <v>75</v>
      </c>
      <c r="K253">
        <v>92</v>
      </c>
    </row>
    <row r="254" spans="1:11" x14ac:dyDescent="0.3">
      <c r="A254" t="s">
        <v>521</v>
      </c>
      <c r="B254" t="s">
        <v>522</v>
      </c>
      <c r="C254">
        <v>143</v>
      </c>
      <c r="D254" t="s">
        <v>25</v>
      </c>
      <c r="E254" s="1">
        <v>45097</v>
      </c>
      <c r="F254">
        <v>7.1</v>
      </c>
      <c r="G254">
        <v>8500</v>
      </c>
      <c r="H254">
        <v>6.8</v>
      </c>
      <c r="I254">
        <v>197</v>
      </c>
      <c r="J254">
        <v>81</v>
      </c>
      <c r="K254">
        <v>92</v>
      </c>
    </row>
    <row r="255" spans="1:11" x14ac:dyDescent="0.3">
      <c r="A255" t="s">
        <v>523</v>
      </c>
      <c r="B255" t="s">
        <v>524</v>
      </c>
      <c r="C255">
        <v>135</v>
      </c>
      <c r="D255" t="s">
        <v>15</v>
      </c>
      <c r="E255" s="1">
        <v>45045</v>
      </c>
      <c r="F255">
        <v>7.6</v>
      </c>
      <c r="G255">
        <v>16000</v>
      </c>
      <c r="H255">
        <v>7.4850000000000003</v>
      </c>
      <c r="I255">
        <v>263</v>
      </c>
      <c r="J255">
        <v>83</v>
      </c>
      <c r="K255">
        <v>92</v>
      </c>
    </row>
    <row r="256" spans="1:11" x14ac:dyDescent="0.3">
      <c r="A256" t="s">
        <v>525</v>
      </c>
      <c r="B256" t="s">
        <v>526</v>
      </c>
      <c r="C256">
        <v>106</v>
      </c>
      <c r="D256" t="s">
        <v>28</v>
      </c>
      <c r="E256" s="1">
        <v>45037</v>
      </c>
      <c r="F256">
        <v>6.8</v>
      </c>
      <c r="G256">
        <v>5900</v>
      </c>
      <c r="H256">
        <v>6.2</v>
      </c>
      <c r="I256">
        <v>78</v>
      </c>
      <c r="J256">
        <v>61</v>
      </c>
      <c r="K256">
        <v>92</v>
      </c>
    </row>
    <row r="257" spans="1:11" x14ac:dyDescent="0.3">
      <c r="A257" t="s">
        <v>527</v>
      </c>
      <c r="B257" t="s">
        <v>528</v>
      </c>
      <c r="C257">
        <v>151</v>
      </c>
      <c r="D257" t="s">
        <v>15</v>
      </c>
      <c r="E257" s="1">
        <v>44888</v>
      </c>
      <c r="F257">
        <v>7.5</v>
      </c>
      <c r="G257">
        <v>127000</v>
      </c>
      <c r="H257">
        <v>7.5720000000000001</v>
      </c>
      <c r="I257">
        <v>2733</v>
      </c>
      <c r="J257">
        <v>85</v>
      </c>
      <c r="K257">
        <v>92</v>
      </c>
    </row>
    <row r="258" spans="1:11" x14ac:dyDescent="0.3">
      <c r="A258" t="s">
        <v>529</v>
      </c>
      <c r="B258" t="s">
        <v>530</v>
      </c>
      <c r="C258">
        <v>117</v>
      </c>
      <c r="D258" t="s">
        <v>63</v>
      </c>
      <c r="E258" s="1">
        <v>44853</v>
      </c>
      <c r="F258">
        <v>6.6</v>
      </c>
      <c r="G258">
        <v>28000</v>
      </c>
      <c r="H258">
        <v>6.1879999999999997</v>
      </c>
      <c r="I258">
        <v>410</v>
      </c>
      <c r="J258">
        <v>74</v>
      </c>
      <c r="K258">
        <v>92</v>
      </c>
    </row>
    <row r="259" spans="1:11" x14ac:dyDescent="0.3">
      <c r="A259" t="s">
        <v>531</v>
      </c>
      <c r="B259" t="s">
        <v>532</v>
      </c>
      <c r="C259">
        <v>102</v>
      </c>
      <c r="D259" t="s">
        <v>28</v>
      </c>
      <c r="E259" s="1">
        <v>44813</v>
      </c>
      <c r="F259">
        <v>7</v>
      </c>
      <c r="G259">
        <v>218000</v>
      </c>
      <c r="H259">
        <v>6.8470000000000004</v>
      </c>
      <c r="I259">
        <v>3156</v>
      </c>
      <c r="J259">
        <v>78</v>
      </c>
      <c r="K259">
        <v>92</v>
      </c>
    </row>
    <row r="260" spans="1:11" x14ac:dyDescent="0.3">
      <c r="A260" t="s">
        <v>533</v>
      </c>
      <c r="B260" t="s">
        <v>534</v>
      </c>
      <c r="C260">
        <v>83</v>
      </c>
      <c r="D260" t="s">
        <v>25</v>
      </c>
      <c r="E260" s="1">
        <v>44728</v>
      </c>
      <c r="F260">
        <v>6.8</v>
      </c>
      <c r="G260">
        <v>18000</v>
      </c>
      <c r="H260">
        <v>6.8319999999999999</v>
      </c>
      <c r="I260">
        <v>547</v>
      </c>
      <c r="J260">
        <v>80</v>
      </c>
      <c r="K260">
        <v>92</v>
      </c>
    </row>
    <row r="261" spans="1:11" x14ac:dyDescent="0.3">
      <c r="A261" t="s">
        <v>535</v>
      </c>
      <c r="B261" t="s">
        <v>536</v>
      </c>
      <c r="C261">
        <v>93</v>
      </c>
      <c r="D261" t="s">
        <v>15</v>
      </c>
      <c r="E261" s="1">
        <v>45716</v>
      </c>
      <c r="F261">
        <v>6.6</v>
      </c>
      <c r="G261">
        <v>9900</v>
      </c>
      <c r="H261">
        <v>6.8869999999999996</v>
      </c>
      <c r="I261">
        <v>617</v>
      </c>
      <c r="J261">
        <v>66</v>
      </c>
      <c r="K261">
        <v>91</v>
      </c>
    </row>
    <row r="262" spans="1:11" x14ac:dyDescent="0.3">
      <c r="A262" t="s">
        <v>537</v>
      </c>
      <c r="B262" t="s">
        <v>538</v>
      </c>
      <c r="C262">
        <v>99</v>
      </c>
      <c r="D262" t="s">
        <v>28</v>
      </c>
      <c r="E262" s="1">
        <v>45583</v>
      </c>
      <c r="F262">
        <v>6.2</v>
      </c>
      <c r="G262">
        <v>1400</v>
      </c>
      <c r="H262">
        <v>6.7</v>
      </c>
      <c r="I262">
        <v>26</v>
      </c>
      <c r="J262">
        <v>71</v>
      </c>
      <c r="K262">
        <v>91</v>
      </c>
    </row>
    <row r="263" spans="1:11" x14ac:dyDescent="0.3">
      <c r="A263" t="s">
        <v>539</v>
      </c>
      <c r="B263" t="s">
        <v>540</v>
      </c>
      <c r="C263">
        <v>95</v>
      </c>
      <c r="D263" t="s">
        <v>28</v>
      </c>
      <c r="E263" s="1">
        <v>45583</v>
      </c>
      <c r="F263">
        <v>6.6</v>
      </c>
      <c r="G263">
        <v>60000</v>
      </c>
      <c r="H263">
        <v>6.4050000000000002</v>
      </c>
      <c r="I263">
        <v>996</v>
      </c>
      <c r="J263">
        <v>74</v>
      </c>
      <c r="K263">
        <v>91</v>
      </c>
    </row>
    <row r="264" spans="1:11" x14ac:dyDescent="0.3">
      <c r="A264" t="s">
        <v>541</v>
      </c>
      <c r="B264" t="s">
        <v>542</v>
      </c>
      <c r="C264">
        <v>109</v>
      </c>
      <c r="D264" t="s">
        <v>12</v>
      </c>
      <c r="E264" s="1">
        <v>45509</v>
      </c>
      <c r="F264">
        <v>7.5</v>
      </c>
      <c r="G264">
        <v>33000</v>
      </c>
      <c r="H264">
        <v>7.766</v>
      </c>
      <c r="I264">
        <v>939</v>
      </c>
      <c r="J264">
        <v>69</v>
      </c>
      <c r="K264">
        <v>91</v>
      </c>
    </row>
    <row r="265" spans="1:11" x14ac:dyDescent="0.3">
      <c r="A265" t="s">
        <v>543</v>
      </c>
      <c r="B265" t="s">
        <v>544</v>
      </c>
      <c r="C265">
        <v>96</v>
      </c>
      <c r="D265" t="s">
        <v>12</v>
      </c>
      <c r="E265" s="1">
        <v>45457</v>
      </c>
      <c r="F265">
        <v>7.5</v>
      </c>
      <c r="G265">
        <v>212000</v>
      </c>
      <c r="H265">
        <v>7.5</v>
      </c>
      <c r="I265">
        <v>6589</v>
      </c>
      <c r="J265">
        <v>73</v>
      </c>
      <c r="K265">
        <v>91</v>
      </c>
    </row>
    <row r="266" spans="1:11" x14ac:dyDescent="0.3">
      <c r="A266" t="s">
        <v>545</v>
      </c>
      <c r="B266" t="s">
        <v>546</v>
      </c>
      <c r="C266">
        <v>93</v>
      </c>
      <c r="D266" t="s">
        <v>28</v>
      </c>
      <c r="E266" s="1">
        <v>45366</v>
      </c>
      <c r="F266">
        <v>5.6</v>
      </c>
      <c r="G266">
        <v>9700</v>
      </c>
      <c r="H266">
        <v>6.181</v>
      </c>
      <c r="I266">
        <v>215</v>
      </c>
      <c r="J266">
        <v>65</v>
      </c>
      <c r="K266">
        <v>91</v>
      </c>
    </row>
    <row r="267" spans="1:11" x14ac:dyDescent="0.3">
      <c r="A267" t="s">
        <v>547</v>
      </c>
      <c r="B267" t="s">
        <v>548</v>
      </c>
      <c r="C267">
        <v>91</v>
      </c>
      <c r="D267" t="s">
        <v>28</v>
      </c>
      <c r="E267" s="1">
        <v>45336</v>
      </c>
      <c r="F267">
        <v>6.7</v>
      </c>
      <c r="G267">
        <v>52000</v>
      </c>
      <c r="H267">
        <v>6.8</v>
      </c>
      <c r="I267">
        <v>829</v>
      </c>
      <c r="J267">
        <v>74</v>
      </c>
      <c r="K267">
        <v>91</v>
      </c>
    </row>
    <row r="268" spans="1:11" x14ac:dyDescent="0.3">
      <c r="A268" t="s">
        <v>549</v>
      </c>
      <c r="B268" t="s">
        <v>550</v>
      </c>
      <c r="C268">
        <v>93</v>
      </c>
      <c r="D268" t="s">
        <v>551</v>
      </c>
      <c r="E268" s="1">
        <v>45324</v>
      </c>
      <c r="F268">
        <v>6.3</v>
      </c>
      <c r="G268">
        <v>17000</v>
      </c>
      <c r="H268">
        <v>6.5270000000000001</v>
      </c>
      <c r="I268">
        <v>630</v>
      </c>
      <c r="J268">
        <v>72</v>
      </c>
      <c r="K268">
        <v>91</v>
      </c>
    </row>
    <row r="269" spans="1:11" x14ac:dyDescent="0.3">
      <c r="A269" t="s">
        <v>552</v>
      </c>
      <c r="B269" t="s">
        <v>553</v>
      </c>
      <c r="C269">
        <v>117</v>
      </c>
      <c r="D269" t="s">
        <v>28</v>
      </c>
      <c r="E269" s="1">
        <v>45261</v>
      </c>
      <c r="F269">
        <v>6.8</v>
      </c>
      <c r="G269">
        <v>68000</v>
      </c>
      <c r="H269">
        <v>6.5750000000000002</v>
      </c>
      <c r="I269">
        <v>1014</v>
      </c>
      <c r="J269">
        <v>86</v>
      </c>
      <c r="K269">
        <v>91</v>
      </c>
    </row>
    <row r="270" spans="1:11" x14ac:dyDescent="0.3">
      <c r="A270" t="s">
        <v>554</v>
      </c>
      <c r="B270" t="s">
        <v>555</v>
      </c>
      <c r="C270">
        <v>102</v>
      </c>
      <c r="D270" t="s">
        <v>28</v>
      </c>
      <c r="E270" s="1">
        <v>45252</v>
      </c>
      <c r="F270">
        <v>6.8</v>
      </c>
      <c r="G270">
        <v>84000</v>
      </c>
      <c r="H270">
        <v>6.649</v>
      </c>
      <c r="I270">
        <v>1286</v>
      </c>
      <c r="J270">
        <v>74</v>
      </c>
      <c r="K270">
        <v>91</v>
      </c>
    </row>
    <row r="271" spans="1:11" x14ac:dyDescent="0.3">
      <c r="A271" t="s">
        <v>556</v>
      </c>
      <c r="B271" t="s">
        <v>557</v>
      </c>
      <c r="C271">
        <v>104</v>
      </c>
      <c r="D271" t="s">
        <v>28</v>
      </c>
      <c r="E271" s="1">
        <v>45181</v>
      </c>
      <c r="F271">
        <v>5.6</v>
      </c>
      <c r="G271">
        <v>2400</v>
      </c>
      <c r="H271">
        <v>6.2</v>
      </c>
      <c r="I271">
        <v>103</v>
      </c>
      <c r="J271">
        <v>60</v>
      </c>
      <c r="K271">
        <v>91</v>
      </c>
    </row>
    <row r="272" spans="1:11" x14ac:dyDescent="0.3">
      <c r="A272" t="s">
        <v>558</v>
      </c>
      <c r="B272" t="s">
        <v>559</v>
      </c>
      <c r="C272">
        <v>103</v>
      </c>
      <c r="D272" t="s">
        <v>15</v>
      </c>
      <c r="E272" s="1">
        <v>45163</v>
      </c>
      <c r="F272">
        <v>5.9</v>
      </c>
      <c r="G272">
        <v>26000</v>
      </c>
      <c r="H272">
        <v>6.4210000000000003</v>
      </c>
      <c r="I272">
        <v>494</v>
      </c>
      <c r="J272">
        <v>71</v>
      </c>
      <c r="K272">
        <v>91</v>
      </c>
    </row>
    <row r="273" spans="1:11" x14ac:dyDescent="0.3">
      <c r="A273" t="s">
        <v>560</v>
      </c>
      <c r="B273" t="s">
        <v>561</v>
      </c>
      <c r="C273">
        <v>93</v>
      </c>
      <c r="D273" t="s">
        <v>15</v>
      </c>
      <c r="E273" s="1">
        <v>45072</v>
      </c>
      <c r="F273">
        <v>7.1</v>
      </c>
      <c r="G273">
        <v>816</v>
      </c>
      <c r="H273">
        <v>7.3</v>
      </c>
      <c r="I273">
        <v>13</v>
      </c>
      <c r="J273">
        <v>67</v>
      </c>
      <c r="K273">
        <v>91</v>
      </c>
    </row>
    <row r="274" spans="1:11" x14ac:dyDescent="0.3">
      <c r="A274" t="s">
        <v>562</v>
      </c>
      <c r="B274" t="s">
        <v>563</v>
      </c>
      <c r="C274">
        <v>104</v>
      </c>
      <c r="D274" t="s">
        <v>15</v>
      </c>
      <c r="E274" s="1">
        <v>45044</v>
      </c>
      <c r="F274">
        <v>6.6</v>
      </c>
      <c r="G274">
        <v>12000</v>
      </c>
      <c r="H274">
        <v>6.2709999999999999</v>
      </c>
      <c r="I274">
        <v>212</v>
      </c>
      <c r="J274">
        <v>75</v>
      </c>
      <c r="K274">
        <v>91</v>
      </c>
    </row>
    <row r="275" spans="1:11" x14ac:dyDescent="0.3">
      <c r="A275" t="s">
        <v>564</v>
      </c>
      <c r="B275" t="s">
        <v>565</v>
      </c>
      <c r="C275">
        <v>139</v>
      </c>
      <c r="D275" t="s">
        <v>15</v>
      </c>
      <c r="E275" s="1">
        <v>44918</v>
      </c>
      <c r="F275">
        <v>7.1</v>
      </c>
      <c r="G275">
        <v>473000</v>
      </c>
      <c r="H275">
        <v>7.0330000000000004</v>
      </c>
      <c r="I275">
        <v>6718</v>
      </c>
      <c r="J275">
        <v>81</v>
      </c>
      <c r="K275">
        <v>91</v>
      </c>
    </row>
    <row r="276" spans="1:11" x14ac:dyDescent="0.3">
      <c r="A276" t="s">
        <v>566</v>
      </c>
      <c r="B276" t="s">
        <v>567</v>
      </c>
      <c r="C276">
        <v>147</v>
      </c>
      <c r="D276" t="s">
        <v>18</v>
      </c>
      <c r="E276" s="1">
        <v>44909</v>
      </c>
      <c r="F276">
        <v>7.7</v>
      </c>
      <c r="G276">
        <v>18000</v>
      </c>
      <c r="H276">
        <v>7.6260000000000003</v>
      </c>
      <c r="I276">
        <v>822</v>
      </c>
      <c r="J276">
        <v>78</v>
      </c>
      <c r="K276">
        <v>91</v>
      </c>
    </row>
    <row r="277" spans="1:11" x14ac:dyDescent="0.3">
      <c r="A277" t="s">
        <v>568</v>
      </c>
      <c r="B277" t="s">
        <v>569</v>
      </c>
      <c r="C277">
        <v>104</v>
      </c>
      <c r="D277" t="s">
        <v>15</v>
      </c>
      <c r="E277" s="1">
        <v>44866</v>
      </c>
      <c r="F277">
        <v>7.8</v>
      </c>
      <c r="G277">
        <v>43000</v>
      </c>
      <c r="H277">
        <v>7.7729999999999997</v>
      </c>
      <c r="I277">
        <v>978</v>
      </c>
      <c r="J277">
        <v>81</v>
      </c>
      <c r="K277">
        <v>91</v>
      </c>
    </row>
    <row r="278" spans="1:11" x14ac:dyDescent="0.3">
      <c r="A278" t="s">
        <v>570</v>
      </c>
      <c r="B278" t="s">
        <v>571</v>
      </c>
      <c r="C278">
        <v>99</v>
      </c>
      <c r="D278" t="s">
        <v>18</v>
      </c>
      <c r="E278" s="1">
        <v>44848</v>
      </c>
      <c r="F278">
        <v>6.2</v>
      </c>
      <c r="G278">
        <v>15000</v>
      </c>
      <c r="H278">
        <v>6.577</v>
      </c>
      <c r="I278">
        <v>690</v>
      </c>
      <c r="J278">
        <v>72</v>
      </c>
      <c r="K278">
        <v>91</v>
      </c>
    </row>
    <row r="279" spans="1:11" x14ac:dyDescent="0.3">
      <c r="A279" t="s">
        <v>572</v>
      </c>
      <c r="B279" t="s">
        <v>573</v>
      </c>
      <c r="C279">
        <v>114</v>
      </c>
      <c r="D279" t="s">
        <v>18</v>
      </c>
      <c r="E279" s="1">
        <v>44834</v>
      </c>
      <c r="F279">
        <v>6</v>
      </c>
      <c r="G279">
        <v>25000</v>
      </c>
      <c r="H279">
        <v>6.3079999999999998</v>
      </c>
      <c r="I279">
        <v>687</v>
      </c>
      <c r="J279">
        <v>70</v>
      </c>
      <c r="K279">
        <v>91</v>
      </c>
    </row>
    <row r="280" spans="1:11" x14ac:dyDescent="0.3">
      <c r="A280" t="s">
        <v>574</v>
      </c>
      <c r="B280" t="s">
        <v>575</v>
      </c>
      <c r="C280">
        <v>98</v>
      </c>
      <c r="D280" t="s">
        <v>15</v>
      </c>
      <c r="E280" s="1">
        <v>44785</v>
      </c>
      <c r="F280">
        <v>7.1</v>
      </c>
      <c r="G280">
        <v>2800</v>
      </c>
      <c r="H280">
        <v>7.2</v>
      </c>
      <c r="I280">
        <v>151</v>
      </c>
      <c r="J280">
        <v>77</v>
      </c>
      <c r="K280">
        <v>91</v>
      </c>
    </row>
    <row r="281" spans="1:11" x14ac:dyDescent="0.3">
      <c r="A281" t="s">
        <v>576</v>
      </c>
      <c r="B281" t="s">
        <v>577</v>
      </c>
      <c r="C281">
        <v>105</v>
      </c>
      <c r="D281" t="s">
        <v>28</v>
      </c>
      <c r="E281" s="1">
        <v>44708</v>
      </c>
      <c r="F281">
        <v>6.2</v>
      </c>
      <c r="G281">
        <v>10000</v>
      </c>
      <c r="H281">
        <v>6.1</v>
      </c>
      <c r="I281">
        <v>261</v>
      </c>
      <c r="J281">
        <v>73</v>
      </c>
      <c r="K281">
        <v>91</v>
      </c>
    </row>
    <row r="282" spans="1:11" x14ac:dyDescent="0.3">
      <c r="A282" t="s">
        <v>578</v>
      </c>
      <c r="B282" t="s">
        <v>579</v>
      </c>
      <c r="C282">
        <v>88</v>
      </c>
      <c r="D282" t="s">
        <v>28</v>
      </c>
      <c r="E282" s="1">
        <v>44652</v>
      </c>
      <c r="F282">
        <v>6.5</v>
      </c>
      <c r="G282">
        <v>9600</v>
      </c>
      <c r="H282">
        <v>6.4169999999999998</v>
      </c>
      <c r="I282">
        <v>192</v>
      </c>
      <c r="J282">
        <v>72</v>
      </c>
      <c r="K282">
        <v>91</v>
      </c>
    </row>
    <row r="283" spans="1:11" x14ac:dyDescent="0.3">
      <c r="A283" t="s">
        <v>580</v>
      </c>
      <c r="B283" t="s">
        <v>581</v>
      </c>
      <c r="C283">
        <v>111</v>
      </c>
      <c r="D283" t="s">
        <v>28</v>
      </c>
      <c r="E283" s="1">
        <v>45604</v>
      </c>
      <c r="F283">
        <v>7</v>
      </c>
      <c r="G283">
        <v>124000</v>
      </c>
      <c r="H283">
        <v>6.9790000000000001</v>
      </c>
      <c r="I283">
        <v>2576</v>
      </c>
      <c r="J283">
        <v>71</v>
      </c>
      <c r="K283">
        <v>90</v>
      </c>
    </row>
    <row r="284" spans="1:11" x14ac:dyDescent="0.3">
      <c r="A284" t="s">
        <v>582</v>
      </c>
      <c r="B284" t="s">
        <v>583</v>
      </c>
      <c r="C284">
        <v>114</v>
      </c>
      <c r="D284" t="s">
        <v>18</v>
      </c>
      <c r="E284" s="1">
        <v>45569</v>
      </c>
      <c r="F284">
        <v>5.8</v>
      </c>
      <c r="G284">
        <v>9200</v>
      </c>
      <c r="H284">
        <v>6.5659999999999998</v>
      </c>
      <c r="I284">
        <v>288</v>
      </c>
      <c r="J284">
        <v>65</v>
      </c>
      <c r="K284">
        <v>90</v>
      </c>
    </row>
    <row r="285" spans="1:11" x14ac:dyDescent="0.3">
      <c r="A285" t="s">
        <v>584</v>
      </c>
      <c r="B285" t="s">
        <v>585</v>
      </c>
      <c r="C285">
        <v>89</v>
      </c>
      <c r="D285" t="s">
        <v>28</v>
      </c>
      <c r="E285" s="1">
        <v>45562</v>
      </c>
      <c r="F285">
        <v>6.9</v>
      </c>
      <c r="G285">
        <v>38000</v>
      </c>
      <c r="H285">
        <v>6.7809999999999997</v>
      </c>
      <c r="I285">
        <v>461</v>
      </c>
      <c r="J285">
        <v>74</v>
      </c>
      <c r="K285">
        <v>90</v>
      </c>
    </row>
    <row r="286" spans="1:11" x14ac:dyDescent="0.3">
      <c r="A286" t="s">
        <v>586</v>
      </c>
      <c r="B286" t="s">
        <v>587</v>
      </c>
      <c r="C286">
        <v>105</v>
      </c>
      <c r="D286" t="s">
        <v>28</v>
      </c>
      <c r="E286" s="1">
        <v>45477</v>
      </c>
      <c r="F286">
        <v>7.5</v>
      </c>
      <c r="G286">
        <v>39000</v>
      </c>
      <c r="H286">
        <v>7.0949999999999998</v>
      </c>
      <c r="I286">
        <v>480</v>
      </c>
      <c r="J286">
        <v>74</v>
      </c>
      <c r="K286">
        <v>90</v>
      </c>
    </row>
    <row r="287" spans="1:11" x14ac:dyDescent="0.3">
      <c r="A287" t="s">
        <v>588</v>
      </c>
      <c r="B287" t="s">
        <v>589</v>
      </c>
      <c r="C287">
        <v>148</v>
      </c>
      <c r="D287" t="s">
        <v>28</v>
      </c>
      <c r="E287" s="1">
        <v>45436</v>
      </c>
      <c r="F287">
        <v>7.5</v>
      </c>
      <c r="G287">
        <v>281000</v>
      </c>
      <c r="H287">
        <v>7.452</v>
      </c>
      <c r="I287">
        <v>4776</v>
      </c>
      <c r="J287">
        <v>79</v>
      </c>
      <c r="K287">
        <v>90</v>
      </c>
    </row>
    <row r="288" spans="1:11" x14ac:dyDescent="0.3">
      <c r="A288" t="s">
        <v>590</v>
      </c>
      <c r="B288" t="s">
        <v>591</v>
      </c>
      <c r="C288">
        <v>126</v>
      </c>
      <c r="D288" t="s">
        <v>28</v>
      </c>
      <c r="E288" s="1">
        <v>45413</v>
      </c>
      <c r="F288">
        <v>7</v>
      </c>
      <c r="G288">
        <v>9000</v>
      </c>
      <c r="H288">
        <v>7</v>
      </c>
      <c r="I288">
        <v>432</v>
      </c>
      <c r="J288">
        <v>77</v>
      </c>
      <c r="K288">
        <v>90</v>
      </c>
    </row>
    <row r="289" spans="1:11" x14ac:dyDescent="0.3">
      <c r="A289" t="s">
        <v>592</v>
      </c>
      <c r="B289" t="s">
        <v>593</v>
      </c>
      <c r="C289">
        <v>108</v>
      </c>
      <c r="D289" t="s">
        <v>15</v>
      </c>
      <c r="E289" s="1">
        <v>45401</v>
      </c>
      <c r="F289">
        <v>6.4</v>
      </c>
      <c r="G289">
        <v>1100</v>
      </c>
      <c r="H289">
        <v>6.7709999999999999</v>
      </c>
      <c r="I289">
        <v>35</v>
      </c>
      <c r="J289">
        <v>70</v>
      </c>
      <c r="K289">
        <v>90</v>
      </c>
    </row>
    <row r="290" spans="1:11" x14ac:dyDescent="0.3">
      <c r="A290" t="s">
        <v>594</v>
      </c>
      <c r="B290" t="s">
        <v>595</v>
      </c>
      <c r="C290">
        <v>142</v>
      </c>
      <c r="D290" t="s">
        <v>15</v>
      </c>
      <c r="E290" s="1">
        <v>45359</v>
      </c>
      <c r="F290">
        <v>7.3</v>
      </c>
      <c r="G290">
        <v>8500</v>
      </c>
      <c r="H290">
        <v>7.7770000000000001</v>
      </c>
      <c r="I290">
        <v>159</v>
      </c>
      <c r="J290">
        <v>51</v>
      </c>
      <c r="K290">
        <v>90</v>
      </c>
    </row>
    <row r="291" spans="1:11" x14ac:dyDescent="0.3">
      <c r="A291" t="s">
        <v>596</v>
      </c>
      <c r="B291" t="s">
        <v>597</v>
      </c>
      <c r="C291">
        <v>90</v>
      </c>
      <c r="D291" t="s">
        <v>25</v>
      </c>
      <c r="E291" s="1">
        <v>45337</v>
      </c>
      <c r="F291">
        <v>7</v>
      </c>
      <c r="G291">
        <v>8000</v>
      </c>
      <c r="H291">
        <v>7.38</v>
      </c>
      <c r="I291">
        <v>371</v>
      </c>
      <c r="J291">
        <v>70</v>
      </c>
      <c r="K291">
        <v>90</v>
      </c>
    </row>
    <row r="292" spans="1:11" x14ac:dyDescent="0.3">
      <c r="A292" t="s">
        <v>598</v>
      </c>
      <c r="B292" t="s">
        <v>599</v>
      </c>
      <c r="C292">
        <v>144</v>
      </c>
      <c r="D292" t="s">
        <v>28</v>
      </c>
      <c r="E292" s="1">
        <v>45295</v>
      </c>
      <c r="F292">
        <v>7.8</v>
      </c>
      <c r="G292">
        <v>160000</v>
      </c>
      <c r="H292">
        <v>7.976</v>
      </c>
      <c r="I292">
        <v>3461</v>
      </c>
      <c r="J292">
        <v>72</v>
      </c>
      <c r="K292">
        <v>90</v>
      </c>
    </row>
    <row r="293" spans="1:11" x14ac:dyDescent="0.3">
      <c r="A293" t="s">
        <v>600</v>
      </c>
      <c r="B293" t="s">
        <v>601</v>
      </c>
      <c r="C293">
        <v>92</v>
      </c>
      <c r="D293" t="s">
        <v>12</v>
      </c>
      <c r="E293" s="1">
        <v>45282</v>
      </c>
      <c r="F293">
        <v>5.9</v>
      </c>
      <c r="G293">
        <v>1300</v>
      </c>
      <c r="H293">
        <v>5.8</v>
      </c>
      <c r="I293">
        <v>23</v>
      </c>
      <c r="J293">
        <v>87</v>
      </c>
      <c r="K293">
        <v>90</v>
      </c>
    </row>
    <row r="294" spans="1:11" x14ac:dyDescent="0.3">
      <c r="A294" t="s">
        <v>602</v>
      </c>
      <c r="B294" t="s">
        <v>603</v>
      </c>
      <c r="C294">
        <v>89</v>
      </c>
      <c r="D294" t="s">
        <v>28</v>
      </c>
      <c r="E294" s="1">
        <v>45244</v>
      </c>
      <c r="F294">
        <v>5.9</v>
      </c>
      <c r="G294">
        <v>3800</v>
      </c>
      <c r="H294">
        <v>5.9</v>
      </c>
      <c r="I294">
        <v>88</v>
      </c>
      <c r="J294">
        <v>64</v>
      </c>
      <c r="K294">
        <v>90</v>
      </c>
    </row>
    <row r="295" spans="1:11" x14ac:dyDescent="0.3">
      <c r="A295" t="s">
        <v>604</v>
      </c>
      <c r="B295" t="s">
        <v>605</v>
      </c>
      <c r="C295">
        <v>95</v>
      </c>
      <c r="D295" t="s">
        <v>28</v>
      </c>
      <c r="E295" s="1">
        <v>45114</v>
      </c>
      <c r="F295">
        <v>6.4</v>
      </c>
      <c r="G295">
        <v>27000</v>
      </c>
      <c r="H295">
        <v>6.5019999999999998</v>
      </c>
      <c r="I295">
        <v>473</v>
      </c>
      <c r="J295">
        <v>74</v>
      </c>
      <c r="K295">
        <v>90</v>
      </c>
    </row>
    <row r="296" spans="1:11" x14ac:dyDescent="0.3">
      <c r="A296" t="s">
        <v>606</v>
      </c>
      <c r="B296" t="s">
        <v>607</v>
      </c>
      <c r="C296">
        <v>104</v>
      </c>
      <c r="D296" t="s">
        <v>15</v>
      </c>
      <c r="E296" s="1">
        <v>44953</v>
      </c>
      <c r="F296">
        <v>6.9</v>
      </c>
      <c r="G296">
        <v>46000</v>
      </c>
      <c r="H296">
        <v>6.8280000000000003</v>
      </c>
      <c r="I296">
        <v>716</v>
      </c>
      <c r="J296">
        <v>77</v>
      </c>
      <c r="K296">
        <v>90</v>
      </c>
    </row>
    <row r="297" spans="1:11" x14ac:dyDescent="0.3">
      <c r="A297" t="s">
        <v>608</v>
      </c>
      <c r="B297" t="s">
        <v>609</v>
      </c>
      <c r="C297">
        <v>101</v>
      </c>
      <c r="D297" t="s">
        <v>90</v>
      </c>
      <c r="E297" s="1">
        <v>44896</v>
      </c>
      <c r="F297">
        <v>5.8</v>
      </c>
      <c r="G297">
        <v>52000</v>
      </c>
      <c r="H297">
        <v>6.5579999999999998</v>
      </c>
      <c r="I297">
        <v>2009</v>
      </c>
      <c r="J297">
        <v>62</v>
      </c>
      <c r="K297">
        <v>90</v>
      </c>
    </row>
    <row r="298" spans="1:11" x14ac:dyDescent="0.3">
      <c r="A298" t="s">
        <v>610</v>
      </c>
      <c r="B298" t="s">
        <v>611</v>
      </c>
      <c r="C298">
        <v>148</v>
      </c>
      <c r="D298" t="s">
        <v>28</v>
      </c>
      <c r="E298" s="1">
        <v>44862</v>
      </c>
      <c r="F298">
        <v>7.8</v>
      </c>
      <c r="G298">
        <v>271000</v>
      </c>
      <c r="H298">
        <v>7.7169999999999996</v>
      </c>
      <c r="I298">
        <v>4603</v>
      </c>
      <c r="J298">
        <v>76</v>
      </c>
      <c r="K298">
        <v>90</v>
      </c>
    </row>
    <row r="299" spans="1:11" x14ac:dyDescent="0.3">
      <c r="A299" t="s">
        <v>612</v>
      </c>
      <c r="B299" t="s">
        <v>613</v>
      </c>
      <c r="C299">
        <v>137</v>
      </c>
      <c r="D299" t="s">
        <v>28</v>
      </c>
      <c r="E299" s="1">
        <v>44673</v>
      </c>
      <c r="F299">
        <v>7</v>
      </c>
      <c r="G299">
        <v>277000</v>
      </c>
      <c r="H299">
        <v>7.0330000000000004</v>
      </c>
      <c r="I299">
        <v>4967</v>
      </c>
      <c r="J299">
        <v>82</v>
      </c>
      <c r="K299">
        <v>90</v>
      </c>
    </row>
    <row r="300" spans="1:11" x14ac:dyDescent="0.3">
      <c r="A300" t="s">
        <v>614</v>
      </c>
      <c r="B300" t="s">
        <v>615</v>
      </c>
      <c r="C300">
        <v>106</v>
      </c>
      <c r="D300" t="s">
        <v>28</v>
      </c>
      <c r="E300" s="1">
        <v>45744</v>
      </c>
      <c r="F300">
        <v>6.8</v>
      </c>
      <c r="G300">
        <v>878</v>
      </c>
      <c r="H300">
        <v>6.7149999999999999</v>
      </c>
      <c r="I300">
        <v>79</v>
      </c>
      <c r="J300">
        <v>63</v>
      </c>
      <c r="K300">
        <v>89</v>
      </c>
    </row>
    <row r="301" spans="1:11" x14ac:dyDescent="0.3">
      <c r="A301" t="s">
        <v>616</v>
      </c>
      <c r="B301" t="s">
        <v>617</v>
      </c>
      <c r="C301">
        <v>135</v>
      </c>
      <c r="D301" t="s">
        <v>28</v>
      </c>
      <c r="E301" s="1">
        <v>45667</v>
      </c>
      <c r="F301">
        <v>7.6</v>
      </c>
      <c r="G301">
        <v>23000</v>
      </c>
      <c r="H301">
        <v>7.6230000000000002</v>
      </c>
      <c r="I301">
        <v>822</v>
      </c>
      <c r="J301">
        <v>77</v>
      </c>
      <c r="K301">
        <v>89</v>
      </c>
    </row>
    <row r="302" spans="1:11" x14ac:dyDescent="0.3">
      <c r="A302" t="s">
        <v>618</v>
      </c>
      <c r="B302" t="s">
        <v>619</v>
      </c>
      <c r="C302">
        <v>89</v>
      </c>
      <c r="D302" t="s">
        <v>28</v>
      </c>
      <c r="E302" s="1">
        <v>45660</v>
      </c>
      <c r="F302">
        <v>5.7</v>
      </c>
      <c r="G302">
        <v>3700</v>
      </c>
      <c r="H302">
        <v>5.9290000000000003</v>
      </c>
      <c r="I302">
        <v>161</v>
      </c>
      <c r="J302">
        <v>64</v>
      </c>
      <c r="K302">
        <v>89</v>
      </c>
    </row>
    <row r="303" spans="1:11" x14ac:dyDescent="0.3">
      <c r="A303" t="s">
        <v>620</v>
      </c>
      <c r="B303" t="s">
        <v>621</v>
      </c>
      <c r="C303">
        <v>115</v>
      </c>
      <c r="D303" t="s">
        <v>15</v>
      </c>
      <c r="E303" s="1">
        <v>45618</v>
      </c>
      <c r="F303">
        <v>7.1</v>
      </c>
      <c r="G303">
        <v>9000</v>
      </c>
      <c r="H303">
        <v>6.8390000000000004</v>
      </c>
      <c r="I303">
        <v>158</v>
      </c>
      <c r="J303">
        <v>62</v>
      </c>
      <c r="K303">
        <v>89</v>
      </c>
    </row>
    <row r="304" spans="1:11" x14ac:dyDescent="0.3">
      <c r="A304" t="s">
        <v>622</v>
      </c>
      <c r="B304" t="s">
        <v>623</v>
      </c>
      <c r="C304">
        <v>104</v>
      </c>
      <c r="D304" t="s">
        <v>12</v>
      </c>
      <c r="E304" s="1">
        <v>45555</v>
      </c>
      <c r="F304">
        <v>7.6</v>
      </c>
      <c r="G304">
        <v>48000</v>
      </c>
      <c r="H304">
        <v>7.9740000000000002</v>
      </c>
      <c r="I304">
        <v>1574</v>
      </c>
      <c r="J304">
        <v>64</v>
      </c>
      <c r="K304">
        <v>89</v>
      </c>
    </row>
    <row r="305" spans="1:11" x14ac:dyDescent="0.3">
      <c r="A305" t="s">
        <v>624</v>
      </c>
      <c r="B305" t="s">
        <v>625</v>
      </c>
      <c r="C305">
        <v>141</v>
      </c>
      <c r="D305" t="s">
        <v>28</v>
      </c>
      <c r="E305" s="1">
        <v>45555</v>
      </c>
      <c r="F305">
        <v>7.3</v>
      </c>
      <c r="G305">
        <v>284000</v>
      </c>
      <c r="H305">
        <v>7.1360000000000001</v>
      </c>
      <c r="I305">
        <v>5872</v>
      </c>
      <c r="J305">
        <v>78</v>
      </c>
      <c r="K305">
        <v>89</v>
      </c>
    </row>
    <row r="306" spans="1:11" x14ac:dyDescent="0.3">
      <c r="A306" t="s">
        <v>626</v>
      </c>
      <c r="B306" t="s">
        <v>627</v>
      </c>
      <c r="C306">
        <v>121</v>
      </c>
      <c r="D306" t="s">
        <v>28</v>
      </c>
      <c r="E306" s="1">
        <v>45387</v>
      </c>
      <c r="F306">
        <v>6.8</v>
      </c>
      <c r="G306">
        <v>90000</v>
      </c>
      <c r="H306">
        <v>6.9</v>
      </c>
      <c r="I306">
        <v>1371</v>
      </c>
      <c r="J306">
        <v>70</v>
      </c>
      <c r="K306">
        <v>89</v>
      </c>
    </row>
    <row r="307" spans="1:11" x14ac:dyDescent="0.3">
      <c r="A307" t="s">
        <v>628</v>
      </c>
      <c r="B307" t="s">
        <v>629</v>
      </c>
      <c r="C307">
        <v>102</v>
      </c>
      <c r="D307" t="s">
        <v>28</v>
      </c>
      <c r="E307" s="1">
        <v>45310</v>
      </c>
      <c r="F307">
        <v>5.9</v>
      </c>
      <c r="G307">
        <v>7900</v>
      </c>
      <c r="H307">
        <v>5.8</v>
      </c>
      <c r="I307">
        <v>129</v>
      </c>
      <c r="J307">
        <v>65</v>
      </c>
      <c r="K307">
        <v>89</v>
      </c>
    </row>
    <row r="308" spans="1:11" x14ac:dyDescent="0.3">
      <c r="A308" t="s">
        <v>630</v>
      </c>
      <c r="B308" t="s">
        <v>631</v>
      </c>
      <c r="C308">
        <v>89</v>
      </c>
      <c r="D308" t="s">
        <v>632</v>
      </c>
      <c r="E308" s="1">
        <v>45302</v>
      </c>
      <c r="F308">
        <v>6.7</v>
      </c>
      <c r="G308">
        <v>9200</v>
      </c>
      <c r="H308">
        <v>6.9240000000000004</v>
      </c>
      <c r="I308">
        <v>291</v>
      </c>
      <c r="J308">
        <v>72</v>
      </c>
      <c r="K308">
        <v>89</v>
      </c>
    </row>
    <row r="309" spans="1:11" x14ac:dyDescent="0.3">
      <c r="A309" t="s">
        <v>633</v>
      </c>
      <c r="B309" t="s">
        <v>634</v>
      </c>
      <c r="C309">
        <v>132</v>
      </c>
      <c r="D309" t="s">
        <v>28</v>
      </c>
      <c r="E309" s="1">
        <v>45282</v>
      </c>
      <c r="F309">
        <v>7.6</v>
      </c>
      <c r="G309">
        <v>103000</v>
      </c>
      <c r="H309">
        <v>7.5069999999999997</v>
      </c>
      <c r="I309">
        <v>1214</v>
      </c>
      <c r="J309">
        <v>73</v>
      </c>
      <c r="K309">
        <v>89</v>
      </c>
    </row>
    <row r="310" spans="1:11" x14ac:dyDescent="0.3">
      <c r="A310" t="s">
        <v>635</v>
      </c>
      <c r="B310" t="s">
        <v>636</v>
      </c>
      <c r="C310">
        <v>91</v>
      </c>
      <c r="D310" t="s">
        <v>28</v>
      </c>
      <c r="E310" s="1">
        <v>45205</v>
      </c>
      <c r="F310">
        <v>5.8</v>
      </c>
      <c r="G310">
        <v>14000</v>
      </c>
      <c r="H310">
        <v>5.367</v>
      </c>
      <c r="I310">
        <v>256</v>
      </c>
      <c r="J310">
        <v>77</v>
      </c>
      <c r="K310">
        <v>89</v>
      </c>
    </row>
    <row r="311" spans="1:11" x14ac:dyDescent="0.3">
      <c r="A311" t="s">
        <v>637</v>
      </c>
      <c r="B311" t="s">
        <v>638</v>
      </c>
      <c r="C311">
        <v>84</v>
      </c>
      <c r="D311" t="s">
        <v>28</v>
      </c>
      <c r="E311" s="1">
        <v>45071</v>
      </c>
      <c r="F311">
        <v>6.1</v>
      </c>
      <c r="G311">
        <v>16000</v>
      </c>
      <c r="H311">
        <v>6.3129999999999997</v>
      </c>
      <c r="I311">
        <v>463</v>
      </c>
      <c r="J311">
        <v>51</v>
      </c>
      <c r="K311">
        <v>89</v>
      </c>
    </row>
    <row r="312" spans="1:11" x14ac:dyDescent="0.3">
      <c r="A312" t="s">
        <v>639</v>
      </c>
      <c r="B312" t="s">
        <v>640</v>
      </c>
      <c r="C312">
        <v>107</v>
      </c>
      <c r="D312" t="s">
        <v>28</v>
      </c>
      <c r="E312" s="1">
        <v>45049</v>
      </c>
      <c r="F312">
        <v>6.3</v>
      </c>
      <c r="G312">
        <v>6500</v>
      </c>
      <c r="H312">
        <v>5.9</v>
      </c>
      <c r="I312">
        <v>128</v>
      </c>
      <c r="J312">
        <v>86</v>
      </c>
      <c r="K312">
        <v>89</v>
      </c>
    </row>
    <row r="313" spans="1:11" x14ac:dyDescent="0.3">
      <c r="A313" t="s">
        <v>641</v>
      </c>
      <c r="B313" t="s">
        <v>642</v>
      </c>
      <c r="C313">
        <v>116</v>
      </c>
      <c r="D313" t="s">
        <v>15</v>
      </c>
      <c r="E313" s="1">
        <v>44988</v>
      </c>
      <c r="F313">
        <v>6.7</v>
      </c>
      <c r="G313">
        <v>99000</v>
      </c>
      <c r="H313">
        <v>7.077</v>
      </c>
      <c r="I313">
        <v>2838</v>
      </c>
      <c r="J313">
        <v>73</v>
      </c>
      <c r="K313">
        <v>89</v>
      </c>
    </row>
    <row r="314" spans="1:11" x14ac:dyDescent="0.3">
      <c r="A314" t="s">
        <v>643</v>
      </c>
      <c r="B314" t="s">
        <v>644</v>
      </c>
      <c r="C314">
        <v>111</v>
      </c>
      <c r="D314" t="s">
        <v>15</v>
      </c>
      <c r="E314" s="1">
        <v>44946</v>
      </c>
      <c r="F314">
        <v>7.1</v>
      </c>
      <c r="G314">
        <v>67000</v>
      </c>
      <c r="H314">
        <v>7.3979999999999997</v>
      </c>
      <c r="I314">
        <v>1255</v>
      </c>
      <c r="J314">
        <v>66</v>
      </c>
      <c r="K314">
        <v>89</v>
      </c>
    </row>
    <row r="315" spans="1:11" x14ac:dyDescent="0.3">
      <c r="A315" t="s">
        <v>645</v>
      </c>
      <c r="B315" t="s">
        <v>646</v>
      </c>
      <c r="C315">
        <v>116</v>
      </c>
      <c r="D315" t="s">
        <v>28</v>
      </c>
      <c r="E315" s="1">
        <v>44887</v>
      </c>
      <c r="F315">
        <v>5.8</v>
      </c>
      <c r="G315">
        <v>6000</v>
      </c>
      <c r="H315">
        <v>5.8129999999999997</v>
      </c>
      <c r="I315">
        <v>126</v>
      </c>
      <c r="J315">
        <v>76</v>
      </c>
      <c r="K315">
        <v>89</v>
      </c>
    </row>
    <row r="316" spans="1:11" x14ac:dyDescent="0.3">
      <c r="A316" t="s">
        <v>647</v>
      </c>
      <c r="B316" t="s">
        <v>648</v>
      </c>
      <c r="C316">
        <v>84</v>
      </c>
      <c r="D316" t="s">
        <v>15</v>
      </c>
      <c r="E316" s="1">
        <v>44713</v>
      </c>
      <c r="F316">
        <v>6.2</v>
      </c>
      <c r="G316">
        <v>1500</v>
      </c>
      <c r="H316">
        <v>5.9</v>
      </c>
      <c r="I316">
        <v>45</v>
      </c>
      <c r="J316">
        <v>74</v>
      </c>
      <c r="K316">
        <v>89</v>
      </c>
    </row>
    <row r="317" spans="1:11" x14ac:dyDescent="0.3">
      <c r="A317" t="s">
        <v>649</v>
      </c>
      <c r="B317" t="s">
        <v>650</v>
      </c>
      <c r="C317">
        <v>93</v>
      </c>
      <c r="D317" t="s">
        <v>28</v>
      </c>
      <c r="E317" s="1">
        <v>44631</v>
      </c>
      <c r="F317">
        <v>6.3</v>
      </c>
      <c r="G317">
        <v>7000</v>
      </c>
      <c r="H317">
        <v>5.9</v>
      </c>
      <c r="I317">
        <v>151</v>
      </c>
      <c r="J317">
        <v>71</v>
      </c>
      <c r="K317">
        <v>89</v>
      </c>
    </row>
    <row r="318" spans="1:11" x14ac:dyDescent="0.3">
      <c r="A318" t="s">
        <v>651</v>
      </c>
      <c r="B318" t="s">
        <v>652</v>
      </c>
      <c r="C318">
        <v>96</v>
      </c>
      <c r="D318" t="s">
        <v>12</v>
      </c>
      <c r="E318" s="1">
        <v>44624</v>
      </c>
      <c r="F318">
        <v>6.6</v>
      </c>
      <c r="G318">
        <v>25000</v>
      </c>
      <c r="H318">
        <v>6.4059999999999997</v>
      </c>
      <c r="I318">
        <v>501</v>
      </c>
      <c r="J318">
        <v>78</v>
      </c>
      <c r="K318">
        <v>89</v>
      </c>
    </row>
    <row r="319" spans="1:11" x14ac:dyDescent="0.3">
      <c r="A319" t="s">
        <v>653</v>
      </c>
      <c r="B319" t="s">
        <v>654</v>
      </c>
      <c r="C319">
        <v>124</v>
      </c>
      <c r="D319" t="s">
        <v>28</v>
      </c>
      <c r="E319" s="1">
        <v>45701</v>
      </c>
      <c r="F319">
        <v>6.7</v>
      </c>
      <c r="G319">
        <v>19000</v>
      </c>
      <c r="H319">
        <v>6.407</v>
      </c>
      <c r="I319">
        <v>514</v>
      </c>
      <c r="J319">
        <v>72</v>
      </c>
      <c r="K319">
        <v>88</v>
      </c>
    </row>
    <row r="320" spans="1:11" x14ac:dyDescent="0.3">
      <c r="A320" t="s">
        <v>655</v>
      </c>
      <c r="B320" t="s">
        <v>656</v>
      </c>
      <c r="C320">
        <v>84</v>
      </c>
      <c r="D320" t="s">
        <v>28</v>
      </c>
      <c r="E320" s="1">
        <v>45681</v>
      </c>
      <c r="F320">
        <v>6.1</v>
      </c>
      <c r="G320">
        <v>18000</v>
      </c>
      <c r="H320">
        <v>6.1210000000000004</v>
      </c>
      <c r="I320">
        <v>715</v>
      </c>
      <c r="J320">
        <v>77</v>
      </c>
      <c r="K320">
        <v>88</v>
      </c>
    </row>
    <row r="321" spans="1:11" x14ac:dyDescent="0.3">
      <c r="A321" t="s">
        <v>657</v>
      </c>
      <c r="B321" t="s">
        <v>658</v>
      </c>
      <c r="C321">
        <v>119</v>
      </c>
      <c r="D321" t="s">
        <v>15</v>
      </c>
      <c r="E321" s="1">
        <v>45639</v>
      </c>
      <c r="F321">
        <v>6.5</v>
      </c>
      <c r="G321">
        <v>161000</v>
      </c>
      <c r="H321">
        <v>6.8869999999999996</v>
      </c>
      <c r="I321">
        <v>2690</v>
      </c>
      <c r="J321">
        <v>69</v>
      </c>
      <c r="K321">
        <v>88</v>
      </c>
    </row>
    <row r="322" spans="1:11" x14ac:dyDescent="0.3">
      <c r="A322" t="s">
        <v>659</v>
      </c>
      <c r="B322" t="s">
        <v>660</v>
      </c>
      <c r="C322">
        <v>160</v>
      </c>
      <c r="D322" t="s">
        <v>12</v>
      </c>
      <c r="E322" s="1">
        <v>45618</v>
      </c>
      <c r="F322">
        <v>7.5</v>
      </c>
      <c r="G322">
        <v>147000</v>
      </c>
      <c r="H322">
        <v>6.9119999999999999</v>
      </c>
      <c r="I322">
        <v>2964</v>
      </c>
      <c r="J322">
        <v>73</v>
      </c>
      <c r="K322">
        <v>88</v>
      </c>
    </row>
    <row r="323" spans="1:11" x14ac:dyDescent="0.3">
      <c r="A323" t="s">
        <v>661</v>
      </c>
      <c r="B323" t="s">
        <v>662</v>
      </c>
      <c r="C323">
        <v>127</v>
      </c>
      <c r="D323" t="s">
        <v>15</v>
      </c>
      <c r="E323" s="1">
        <v>45604</v>
      </c>
      <c r="F323">
        <v>6.2</v>
      </c>
      <c r="G323">
        <v>4800</v>
      </c>
      <c r="H323">
        <v>5.8780000000000001</v>
      </c>
      <c r="I323">
        <v>94</v>
      </c>
      <c r="J323">
        <v>69</v>
      </c>
      <c r="K323">
        <v>88</v>
      </c>
    </row>
    <row r="324" spans="1:11" x14ac:dyDescent="0.3">
      <c r="A324" t="s">
        <v>663</v>
      </c>
      <c r="B324" t="s">
        <v>664</v>
      </c>
      <c r="C324">
        <v>111</v>
      </c>
      <c r="D324" t="s">
        <v>28</v>
      </c>
      <c r="E324" s="1">
        <v>45527</v>
      </c>
      <c r="F324">
        <v>4.7</v>
      </c>
      <c r="G324">
        <v>33000</v>
      </c>
      <c r="H324">
        <v>5.8129999999999997</v>
      </c>
      <c r="I324">
        <v>1236</v>
      </c>
      <c r="J324">
        <v>30</v>
      </c>
      <c r="K324">
        <v>88</v>
      </c>
    </row>
    <row r="325" spans="1:11" x14ac:dyDescent="0.3">
      <c r="A325" t="s">
        <v>665</v>
      </c>
      <c r="B325" t="s">
        <v>666</v>
      </c>
      <c r="C325">
        <v>129</v>
      </c>
      <c r="D325" t="s">
        <v>12</v>
      </c>
      <c r="E325" s="1">
        <v>45492</v>
      </c>
      <c r="F325">
        <v>7.5</v>
      </c>
      <c r="G325">
        <v>17000</v>
      </c>
      <c r="H325">
        <v>7.8639999999999999</v>
      </c>
      <c r="I325">
        <v>419</v>
      </c>
      <c r="J325">
        <v>62</v>
      </c>
      <c r="K325">
        <v>88</v>
      </c>
    </row>
    <row r="326" spans="1:11" x14ac:dyDescent="0.3">
      <c r="A326" t="s">
        <v>667</v>
      </c>
      <c r="B326" t="s">
        <v>668</v>
      </c>
      <c r="C326">
        <v>131</v>
      </c>
      <c r="D326" t="s">
        <v>28</v>
      </c>
      <c r="E326" s="1">
        <v>45408</v>
      </c>
      <c r="F326">
        <v>7</v>
      </c>
      <c r="G326">
        <v>152000</v>
      </c>
      <c r="H326">
        <v>6.915</v>
      </c>
      <c r="I326">
        <v>2633</v>
      </c>
      <c r="J326">
        <v>82</v>
      </c>
      <c r="K326">
        <v>88</v>
      </c>
    </row>
    <row r="327" spans="1:11" x14ac:dyDescent="0.3">
      <c r="A327" t="s">
        <v>669</v>
      </c>
      <c r="B327" t="s">
        <v>670</v>
      </c>
      <c r="C327">
        <v>98</v>
      </c>
      <c r="D327" t="s">
        <v>15</v>
      </c>
      <c r="E327" s="1">
        <v>45177</v>
      </c>
      <c r="F327">
        <v>7.1</v>
      </c>
      <c r="G327">
        <v>2900</v>
      </c>
      <c r="H327">
        <v>7.4720000000000004</v>
      </c>
      <c r="I327">
        <v>54</v>
      </c>
      <c r="J327">
        <v>69</v>
      </c>
      <c r="K327">
        <v>88</v>
      </c>
    </row>
    <row r="328" spans="1:11" x14ac:dyDescent="0.3">
      <c r="A328" t="s">
        <v>671</v>
      </c>
      <c r="B328" t="s">
        <v>672</v>
      </c>
      <c r="C328">
        <v>94</v>
      </c>
      <c r="D328" t="s">
        <v>25</v>
      </c>
      <c r="E328" s="1">
        <v>45142</v>
      </c>
      <c r="F328">
        <v>6.4</v>
      </c>
      <c r="G328">
        <v>10000</v>
      </c>
      <c r="H328">
        <v>6.2350000000000003</v>
      </c>
      <c r="I328">
        <v>181</v>
      </c>
      <c r="J328">
        <v>62</v>
      </c>
      <c r="K328">
        <v>88</v>
      </c>
    </row>
    <row r="329" spans="1:11" x14ac:dyDescent="0.3">
      <c r="A329" t="s">
        <v>673</v>
      </c>
      <c r="B329" t="s">
        <v>674</v>
      </c>
      <c r="C329">
        <v>114</v>
      </c>
      <c r="D329" t="s">
        <v>15</v>
      </c>
      <c r="E329" s="1">
        <v>45128</v>
      </c>
      <c r="F329">
        <v>6.8</v>
      </c>
      <c r="G329">
        <v>601000</v>
      </c>
      <c r="H329">
        <v>6.9</v>
      </c>
      <c r="I329">
        <v>10964</v>
      </c>
      <c r="J329">
        <v>80</v>
      </c>
      <c r="K329">
        <v>88</v>
      </c>
    </row>
    <row r="330" spans="1:11" x14ac:dyDescent="0.3">
      <c r="A330" t="s">
        <v>675</v>
      </c>
      <c r="B330" t="s">
        <v>676</v>
      </c>
      <c r="C330">
        <v>96</v>
      </c>
      <c r="D330" t="s">
        <v>28</v>
      </c>
      <c r="E330" s="1">
        <v>45065</v>
      </c>
      <c r="F330">
        <v>6.2</v>
      </c>
      <c r="G330">
        <v>11000</v>
      </c>
      <c r="H330">
        <v>6.0869999999999997</v>
      </c>
      <c r="I330">
        <v>248</v>
      </c>
      <c r="J330">
        <v>67</v>
      </c>
      <c r="K330">
        <v>88</v>
      </c>
    </row>
    <row r="331" spans="1:11" x14ac:dyDescent="0.3">
      <c r="A331" t="s">
        <v>677</v>
      </c>
      <c r="B331" t="s">
        <v>678</v>
      </c>
      <c r="C331">
        <v>100</v>
      </c>
      <c r="D331" t="s">
        <v>28</v>
      </c>
      <c r="E331" s="1">
        <v>45023</v>
      </c>
      <c r="F331">
        <v>7.1</v>
      </c>
      <c r="G331">
        <v>4800</v>
      </c>
      <c r="H331">
        <v>6.6</v>
      </c>
      <c r="I331">
        <v>66</v>
      </c>
      <c r="J331">
        <v>69</v>
      </c>
      <c r="K331">
        <v>88</v>
      </c>
    </row>
    <row r="332" spans="1:11" x14ac:dyDescent="0.3">
      <c r="A332" t="s">
        <v>679</v>
      </c>
      <c r="B332" t="s">
        <v>680</v>
      </c>
      <c r="C332">
        <v>95</v>
      </c>
      <c r="D332" t="s">
        <v>28</v>
      </c>
      <c r="E332" s="1">
        <v>44897</v>
      </c>
      <c r="F332">
        <v>6.7</v>
      </c>
      <c r="G332">
        <v>5600</v>
      </c>
      <c r="H332">
        <v>6.2</v>
      </c>
      <c r="I332">
        <v>77</v>
      </c>
      <c r="J332">
        <v>73</v>
      </c>
      <c r="K332">
        <v>88</v>
      </c>
    </row>
    <row r="333" spans="1:11" x14ac:dyDescent="0.3">
      <c r="A333" t="s">
        <v>681</v>
      </c>
      <c r="B333" t="s">
        <v>682</v>
      </c>
      <c r="C333">
        <v>129</v>
      </c>
      <c r="D333" t="s">
        <v>28</v>
      </c>
      <c r="E333" s="1">
        <v>44883</v>
      </c>
      <c r="F333">
        <v>7.3</v>
      </c>
      <c r="G333">
        <v>46000</v>
      </c>
      <c r="H333">
        <v>7.1829999999999998</v>
      </c>
      <c r="I333">
        <v>706</v>
      </c>
      <c r="J333">
        <v>74</v>
      </c>
      <c r="K333">
        <v>88</v>
      </c>
    </row>
    <row r="334" spans="1:11" x14ac:dyDescent="0.3">
      <c r="A334" t="s">
        <v>683</v>
      </c>
      <c r="B334" t="s">
        <v>684</v>
      </c>
      <c r="C334">
        <v>107</v>
      </c>
      <c r="D334" t="s">
        <v>28</v>
      </c>
      <c r="E334" s="1">
        <v>44883</v>
      </c>
      <c r="F334">
        <v>7.2</v>
      </c>
      <c r="G334">
        <v>448000</v>
      </c>
      <c r="H334">
        <v>7.1710000000000003</v>
      </c>
      <c r="I334">
        <v>6062</v>
      </c>
      <c r="J334">
        <v>71</v>
      </c>
      <c r="K334">
        <v>88</v>
      </c>
    </row>
    <row r="335" spans="1:11" x14ac:dyDescent="0.3">
      <c r="A335" t="s">
        <v>685</v>
      </c>
      <c r="B335" t="s">
        <v>686</v>
      </c>
      <c r="C335">
        <v>115</v>
      </c>
      <c r="D335" t="s">
        <v>28</v>
      </c>
      <c r="E335" s="1">
        <v>44834</v>
      </c>
      <c r="F335">
        <v>6.4</v>
      </c>
      <c r="G335">
        <v>38000</v>
      </c>
      <c r="H335">
        <v>6.67</v>
      </c>
      <c r="I335">
        <v>560</v>
      </c>
      <c r="J335">
        <v>72</v>
      </c>
      <c r="K335">
        <v>88</v>
      </c>
    </row>
    <row r="336" spans="1:11" x14ac:dyDescent="0.3">
      <c r="A336" t="s">
        <v>687</v>
      </c>
      <c r="B336" t="s">
        <v>688</v>
      </c>
      <c r="C336">
        <v>118</v>
      </c>
      <c r="D336" t="s">
        <v>15</v>
      </c>
      <c r="E336" s="1">
        <v>44757</v>
      </c>
      <c r="F336">
        <v>7.6</v>
      </c>
      <c r="G336">
        <v>1600</v>
      </c>
      <c r="H336">
        <v>7.5</v>
      </c>
      <c r="I336">
        <v>32</v>
      </c>
      <c r="J336">
        <v>70</v>
      </c>
      <c r="K336">
        <v>88</v>
      </c>
    </row>
    <row r="337" spans="1:11" x14ac:dyDescent="0.3">
      <c r="A337" t="s">
        <v>689</v>
      </c>
      <c r="B337" t="s">
        <v>690</v>
      </c>
      <c r="C337">
        <v>96</v>
      </c>
      <c r="D337" t="s">
        <v>28</v>
      </c>
      <c r="E337" s="1">
        <v>44715</v>
      </c>
      <c r="F337">
        <v>6.3</v>
      </c>
      <c r="G337">
        <v>56000</v>
      </c>
      <c r="H337">
        <v>6.4850000000000003</v>
      </c>
      <c r="I337">
        <v>1134</v>
      </c>
      <c r="J337">
        <v>72</v>
      </c>
      <c r="K337">
        <v>88</v>
      </c>
    </row>
    <row r="338" spans="1:11" x14ac:dyDescent="0.3">
      <c r="A338" t="s">
        <v>691</v>
      </c>
      <c r="B338" t="s">
        <v>692</v>
      </c>
      <c r="C338">
        <v>99</v>
      </c>
      <c r="D338" t="s">
        <v>63</v>
      </c>
      <c r="E338" s="1">
        <v>44693</v>
      </c>
      <c r="F338">
        <v>6.5</v>
      </c>
      <c r="G338">
        <v>23000</v>
      </c>
      <c r="H338">
        <v>6.8209999999999997</v>
      </c>
      <c r="I338">
        <v>1077</v>
      </c>
      <c r="J338">
        <v>68</v>
      </c>
      <c r="K338">
        <v>88</v>
      </c>
    </row>
    <row r="339" spans="1:11" x14ac:dyDescent="0.3">
      <c r="A339" t="s">
        <v>693</v>
      </c>
      <c r="B339" t="s">
        <v>694</v>
      </c>
      <c r="C339">
        <v>102</v>
      </c>
      <c r="D339" t="s">
        <v>28</v>
      </c>
      <c r="E339" s="1">
        <v>45898</v>
      </c>
      <c r="F339">
        <v>6</v>
      </c>
      <c r="G339">
        <v>554</v>
      </c>
      <c r="H339">
        <v>5.9619999999999997</v>
      </c>
      <c r="I339">
        <v>351</v>
      </c>
      <c r="J339">
        <v>66</v>
      </c>
      <c r="K339">
        <v>87</v>
      </c>
    </row>
    <row r="340" spans="1:11" x14ac:dyDescent="0.3">
      <c r="A340" t="s">
        <v>695</v>
      </c>
      <c r="B340" t="s">
        <v>696</v>
      </c>
      <c r="C340">
        <v>127</v>
      </c>
      <c r="D340" t="s">
        <v>15</v>
      </c>
      <c r="E340" s="1">
        <v>45716</v>
      </c>
      <c r="F340">
        <v>8</v>
      </c>
      <c r="G340">
        <v>1200</v>
      </c>
      <c r="H340">
        <v>7.4889999999999999</v>
      </c>
      <c r="I340">
        <v>44</v>
      </c>
      <c r="J340">
        <v>71</v>
      </c>
      <c r="K340">
        <v>87</v>
      </c>
    </row>
    <row r="341" spans="1:11" x14ac:dyDescent="0.3">
      <c r="A341" t="s">
        <v>697</v>
      </c>
      <c r="B341" t="s">
        <v>698</v>
      </c>
      <c r="C341">
        <v>104</v>
      </c>
      <c r="D341" t="s">
        <v>28</v>
      </c>
      <c r="E341" s="1">
        <v>45429</v>
      </c>
      <c r="F341">
        <v>6.3</v>
      </c>
      <c r="G341">
        <v>6200</v>
      </c>
      <c r="H341">
        <v>5.8460000000000001</v>
      </c>
      <c r="I341">
        <v>81</v>
      </c>
      <c r="J341">
        <v>72</v>
      </c>
      <c r="K341">
        <v>87</v>
      </c>
    </row>
    <row r="342" spans="1:11" x14ac:dyDescent="0.3">
      <c r="A342" t="s">
        <v>699</v>
      </c>
      <c r="B342" t="s">
        <v>700</v>
      </c>
      <c r="C342">
        <v>88</v>
      </c>
      <c r="D342" t="s">
        <v>18</v>
      </c>
      <c r="E342" s="1">
        <v>45125</v>
      </c>
      <c r="F342">
        <v>7.1</v>
      </c>
      <c r="G342">
        <v>3300</v>
      </c>
      <c r="H342">
        <v>6.8</v>
      </c>
      <c r="I342">
        <v>91</v>
      </c>
      <c r="J342">
        <v>78</v>
      </c>
      <c r="K342">
        <v>87</v>
      </c>
    </row>
    <row r="343" spans="1:11" x14ac:dyDescent="0.3">
      <c r="A343" t="s">
        <v>701</v>
      </c>
      <c r="B343" t="s">
        <v>702</v>
      </c>
      <c r="C343">
        <v>97</v>
      </c>
      <c r="D343" t="s">
        <v>28</v>
      </c>
      <c r="E343" s="1">
        <v>45093</v>
      </c>
      <c r="F343">
        <v>6</v>
      </c>
      <c r="G343">
        <v>22000</v>
      </c>
      <c r="H343">
        <v>5.9</v>
      </c>
      <c r="I343">
        <v>394</v>
      </c>
      <c r="J343">
        <v>67</v>
      </c>
      <c r="K343">
        <v>87</v>
      </c>
    </row>
    <row r="344" spans="1:11" x14ac:dyDescent="0.3">
      <c r="A344" t="s">
        <v>703</v>
      </c>
      <c r="B344" t="s">
        <v>704</v>
      </c>
      <c r="C344">
        <v>117</v>
      </c>
      <c r="D344" t="s">
        <v>28</v>
      </c>
      <c r="E344" s="1">
        <v>44953</v>
      </c>
      <c r="F344">
        <v>6</v>
      </c>
      <c r="G344">
        <v>67000</v>
      </c>
      <c r="H344">
        <v>6.1</v>
      </c>
      <c r="I344">
        <v>1007</v>
      </c>
      <c r="J344">
        <v>72</v>
      </c>
      <c r="K344">
        <v>87</v>
      </c>
    </row>
    <row r="345" spans="1:11" x14ac:dyDescent="0.3">
      <c r="A345" t="s">
        <v>705</v>
      </c>
      <c r="B345" t="s">
        <v>706</v>
      </c>
      <c r="C345">
        <v>112</v>
      </c>
      <c r="D345" t="s">
        <v>15</v>
      </c>
      <c r="E345" s="1">
        <v>44904</v>
      </c>
      <c r="F345">
        <v>7.3</v>
      </c>
      <c r="G345">
        <v>8400</v>
      </c>
      <c r="H345">
        <v>6.9969999999999999</v>
      </c>
      <c r="I345">
        <v>169</v>
      </c>
      <c r="J345">
        <v>61</v>
      </c>
      <c r="K345">
        <v>87</v>
      </c>
    </row>
    <row r="346" spans="1:11" x14ac:dyDescent="0.3">
      <c r="A346" t="s">
        <v>707</v>
      </c>
      <c r="B346" t="s">
        <v>708</v>
      </c>
      <c r="C346">
        <v>138</v>
      </c>
      <c r="D346" t="s">
        <v>18</v>
      </c>
      <c r="E346" s="1">
        <v>44840</v>
      </c>
      <c r="F346">
        <v>6.1</v>
      </c>
      <c r="G346">
        <v>72000</v>
      </c>
      <c r="H346">
        <v>6.7</v>
      </c>
      <c r="I346">
        <v>2458</v>
      </c>
      <c r="J346">
        <v>59</v>
      </c>
      <c r="K346">
        <v>87</v>
      </c>
    </row>
    <row r="347" spans="1:11" x14ac:dyDescent="0.3">
      <c r="A347" t="s">
        <v>709</v>
      </c>
      <c r="B347" t="s">
        <v>710</v>
      </c>
      <c r="C347">
        <v>99</v>
      </c>
      <c r="D347" t="s">
        <v>28</v>
      </c>
      <c r="E347" s="1">
        <v>44827</v>
      </c>
      <c r="F347">
        <v>6.8</v>
      </c>
      <c r="G347">
        <v>24000</v>
      </c>
      <c r="H347">
        <v>6.5960000000000001</v>
      </c>
      <c r="I347">
        <v>814</v>
      </c>
      <c r="J347">
        <v>73</v>
      </c>
      <c r="K347">
        <v>87</v>
      </c>
    </row>
    <row r="348" spans="1:11" x14ac:dyDescent="0.3">
      <c r="A348" t="s">
        <v>711</v>
      </c>
      <c r="B348" t="s">
        <v>712</v>
      </c>
      <c r="C348">
        <v>142</v>
      </c>
      <c r="D348" t="s">
        <v>18</v>
      </c>
      <c r="E348" s="1">
        <v>44762</v>
      </c>
      <c r="F348">
        <v>6.3</v>
      </c>
      <c r="G348">
        <v>6700</v>
      </c>
      <c r="H348">
        <v>6.7809999999999997</v>
      </c>
      <c r="I348">
        <v>511</v>
      </c>
      <c r="J348">
        <v>54</v>
      </c>
      <c r="K348">
        <v>87</v>
      </c>
    </row>
    <row r="349" spans="1:11" x14ac:dyDescent="0.3">
      <c r="A349" t="s">
        <v>713</v>
      </c>
      <c r="B349" t="s">
        <v>714</v>
      </c>
      <c r="C349">
        <v>114</v>
      </c>
      <c r="D349" t="s">
        <v>28</v>
      </c>
      <c r="E349" s="1">
        <v>44758</v>
      </c>
      <c r="F349">
        <v>6.5</v>
      </c>
      <c r="G349">
        <v>3700</v>
      </c>
      <c r="H349">
        <v>5.9</v>
      </c>
      <c r="I349">
        <v>43</v>
      </c>
      <c r="J349">
        <v>73</v>
      </c>
      <c r="K349">
        <v>87</v>
      </c>
    </row>
    <row r="350" spans="1:11" x14ac:dyDescent="0.3">
      <c r="A350" t="s">
        <v>715</v>
      </c>
      <c r="B350" t="s">
        <v>716</v>
      </c>
      <c r="C350">
        <v>102</v>
      </c>
      <c r="D350" t="s">
        <v>15</v>
      </c>
      <c r="E350" s="1">
        <v>44708</v>
      </c>
      <c r="F350">
        <v>7</v>
      </c>
      <c r="G350">
        <v>23000</v>
      </c>
      <c r="H350">
        <v>6.9749999999999996</v>
      </c>
      <c r="I350">
        <v>359</v>
      </c>
      <c r="J350">
        <v>75</v>
      </c>
      <c r="K350">
        <v>87</v>
      </c>
    </row>
    <row r="351" spans="1:11" x14ac:dyDescent="0.3">
      <c r="A351" t="s">
        <v>717</v>
      </c>
      <c r="B351" t="s">
        <v>718</v>
      </c>
      <c r="C351">
        <v>124</v>
      </c>
      <c r="D351" t="s">
        <v>12</v>
      </c>
      <c r="E351" s="1">
        <v>44701</v>
      </c>
      <c r="F351">
        <v>7.4</v>
      </c>
      <c r="G351">
        <v>34000</v>
      </c>
      <c r="H351">
        <v>7.1929999999999996</v>
      </c>
      <c r="I351">
        <v>603</v>
      </c>
      <c r="J351">
        <v>63</v>
      </c>
      <c r="K351">
        <v>87</v>
      </c>
    </row>
    <row r="352" spans="1:11" x14ac:dyDescent="0.3">
      <c r="A352" t="s">
        <v>719</v>
      </c>
      <c r="B352" t="s">
        <v>720</v>
      </c>
      <c r="C352">
        <v>100</v>
      </c>
      <c r="D352" t="s">
        <v>12</v>
      </c>
      <c r="E352" s="1">
        <v>44673</v>
      </c>
      <c r="F352">
        <v>6.8</v>
      </c>
      <c r="G352">
        <v>66000</v>
      </c>
      <c r="H352">
        <v>7.5</v>
      </c>
      <c r="I352">
        <v>2514</v>
      </c>
      <c r="J352">
        <v>64</v>
      </c>
      <c r="K352">
        <v>87</v>
      </c>
    </row>
    <row r="353" spans="1:11" x14ac:dyDescent="0.3">
      <c r="A353" t="s">
        <v>721</v>
      </c>
      <c r="B353" t="s">
        <v>722</v>
      </c>
      <c r="C353">
        <v>107</v>
      </c>
      <c r="D353" t="s">
        <v>28</v>
      </c>
      <c r="E353" s="1">
        <v>44673</v>
      </c>
      <c r="F353">
        <v>7</v>
      </c>
      <c r="G353">
        <v>168000</v>
      </c>
      <c r="H353">
        <v>6.7830000000000004</v>
      </c>
      <c r="I353">
        <v>2439</v>
      </c>
      <c r="J353">
        <v>68</v>
      </c>
      <c r="K353">
        <v>87</v>
      </c>
    </row>
    <row r="354" spans="1:11" x14ac:dyDescent="0.3">
      <c r="A354" t="s">
        <v>723</v>
      </c>
      <c r="B354" t="s">
        <v>724</v>
      </c>
      <c r="C354">
        <v>116</v>
      </c>
      <c r="D354" t="s">
        <v>28</v>
      </c>
      <c r="E354" s="1">
        <v>44603</v>
      </c>
      <c r="F354">
        <v>6.5</v>
      </c>
      <c r="G354">
        <v>26000</v>
      </c>
      <c r="H354">
        <v>6.2919999999999998</v>
      </c>
      <c r="I354">
        <v>367</v>
      </c>
      <c r="J354">
        <v>62</v>
      </c>
      <c r="K354">
        <v>87</v>
      </c>
    </row>
    <row r="355" spans="1:11" x14ac:dyDescent="0.3">
      <c r="A355" t="s">
        <v>725</v>
      </c>
      <c r="B355" t="s">
        <v>726</v>
      </c>
      <c r="C355">
        <v>91</v>
      </c>
      <c r="D355" t="s">
        <v>12</v>
      </c>
      <c r="E355" s="1">
        <v>45730</v>
      </c>
      <c r="F355">
        <v>7</v>
      </c>
      <c r="G355">
        <v>2800</v>
      </c>
      <c r="H355">
        <v>7.5</v>
      </c>
      <c r="I355">
        <v>208</v>
      </c>
      <c r="J355">
        <v>69</v>
      </c>
      <c r="K355">
        <v>86</v>
      </c>
    </row>
    <row r="356" spans="1:11" x14ac:dyDescent="0.3">
      <c r="A356" t="s">
        <v>727</v>
      </c>
      <c r="B356" t="s">
        <v>728</v>
      </c>
      <c r="C356">
        <v>119</v>
      </c>
      <c r="D356" t="s">
        <v>28</v>
      </c>
      <c r="E356" s="1">
        <v>45649</v>
      </c>
      <c r="F356">
        <v>7</v>
      </c>
      <c r="G356">
        <v>7800</v>
      </c>
      <c r="H356">
        <v>7.234</v>
      </c>
      <c r="I356">
        <v>220</v>
      </c>
      <c r="J356">
        <v>74</v>
      </c>
      <c r="K356">
        <v>86</v>
      </c>
    </row>
    <row r="357" spans="1:11" x14ac:dyDescent="0.3">
      <c r="A357" t="s">
        <v>729</v>
      </c>
      <c r="B357" t="s">
        <v>730</v>
      </c>
      <c r="C357">
        <v>110</v>
      </c>
      <c r="D357" t="s">
        <v>12</v>
      </c>
      <c r="E357" s="1">
        <v>45646</v>
      </c>
      <c r="F357">
        <v>6.9</v>
      </c>
      <c r="G357">
        <v>54000</v>
      </c>
      <c r="H357">
        <v>7.6139999999999999</v>
      </c>
      <c r="I357">
        <v>3213</v>
      </c>
      <c r="J357">
        <v>56</v>
      </c>
      <c r="K357">
        <v>86</v>
      </c>
    </row>
    <row r="358" spans="1:11" x14ac:dyDescent="0.3">
      <c r="A358" t="s">
        <v>731</v>
      </c>
      <c r="B358" t="s">
        <v>732</v>
      </c>
      <c r="C358">
        <v>127</v>
      </c>
      <c r="D358" t="s">
        <v>28</v>
      </c>
      <c r="E358" s="1">
        <v>45583</v>
      </c>
      <c r="F358">
        <v>6.7</v>
      </c>
      <c r="G358">
        <v>98000</v>
      </c>
      <c r="H358">
        <v>6.6</v>
      </c>
      <c r="I358">
        <v>2074</v>
      </c>
      <c r="J358">
        <v>67</v>
      </c>
      <c r="K358">
        <v>86</v>
      </c>
    </row>
    <row r="359" spans="1:11" x14ac:dyDescent="0.3">
      <c r="A359" t="s">
        <v>733</v>
      </c>
      <c r="B359" t="s">
        <v>734</v>
      </c>
      <c r="C359">
        <v>97</v>
      </c>
      <c r="D359" t="s">
        <v>12</v>
      </c>
      <c r="E359" s="1">
        <v>45520</v>
      </c>
      <c r="F359">
        <v>6.7</v>
      </c>
      <c r="G359">
        <v>4800</v>
      </c>
      <c r="H359">
        <v>7.4</v>
      </c>
      <c r="I359">
        <v>177</v>
      </c>
      <c r="J359">
        <v>70</v>
      </c>
      <c r="K359">
        <v>86</v>
      </c>
    </row>
    <row r="360" spans="1:11" x14ac:dyDescent="0.3">
      <c r="A360" t="s">
        <v>735</v>
      </c>
      <c r="B360" t="s">
        <v>736</v>
      </c>
      <c r="C360">
        <v>146</v>
      </c>
      <c r="D360" t="s">
        <v>25</v>
      </c>
      <c r="E360" s="1">
        <v>45501</v>
      </c>
      <c r="F360">
        <v>6.5</v>
      </c>
      <c r="G360">
        <v>9600</v>
      </c>
      <c r="H360">
        <v>6.3</v>
      </c>
      <c r="I360">
        <v>252</v>
      </c>
      <c r="J360">
        <v>80</v>
      </c>
      <c r="K360">
        <v>86</v>
      </c>
    </row>
    <row r="361" spans="1:11" x14ac:dyDescent="0.3">
      <c r="A361" t="s">
        <v>737</v>
      </c>
      <c r="B361" t="s">
        <v>738</v>
      </c>
      <c r="C361">
        <v>99</v>
      </c>
      <c r="D361" t="s">
        <v>15</v>
      </c>
      <c r="E361" s="1">
        <v>45471</v>
      </c>
      <c r="F361">
        <v>6.3</v>
      </c>
      <c r="G361">
        <v>146000</v>
      </c>
      <c r="H361">
        <v>6.6529999999999996</v>
      </c>
      <c r="I361">
        <v>3266</v>
      </c>
      <c r="J361">
        <v>68</v>
      </c>
      <c r="K361">
        <v>86</v>
      </c>
    </row>
    <row r="362" spans="1:11" x14ac:dyDescent="0.3">
      <c r="A362" t="s">
        <v>739</v>
      </c>
      <c r="B362" t="s">
        <v>740</v>
      </c>
      <c r="C362">
        <v>129</v>
      </c>
      <c r="D362" t="s">
        <v>28</v>
      </c>
      <c r="E362" s="1">
        <v>45443</v>
      </c>
      <c r="F362">
        <v>6.4</v>
      </c>
      <c r="G362">
        <v>8300</v>
      </c>
      <c r="H362">
        <v>6.5049999999999999</v>
      </c>
      <c r="I362">
        <v>203</v>
      </c>
      <c r="J362">
        <v>70</v>
      </c>
      <c r="K362">
        <v>86</v>
      </c>
    </row>
    <row r="363" spans="1:11" x14ac:dyDescent="0.3">
      <c r="A363" t="s">
        <v>741</v>
      </c>
      <c r="B363" t="s">
        <v>742</v>
      </c>
      <c r="C363">
        <v>134</v>
      </c>
      <c r="D363" t="s">
        <v>18</v>
      </c>
      <c r="E363" s="1">
        <v>45436</v>
      </c>
      <c r="F363">
        <v>7</v>
      </c>
      <c r="G363">
        <v>4100</v>
      </c>
      <c r="H363">
        <v>7.3159999999999998</v>
      </c>
      <c r="I363">
        <v>359</v>
      </c>
      <c r="J363">
        <v>75</v>
      </c>
      <c r="K363">
        <v>86</v>
      </c>
    </row>
    <row r="364" spans="1:11" x14ac:dyDescent="0.3">
      <c r="A364" t="s">
        <v>743</v>
      </c>
      <c r="B364" t="s">
        <v>744</v>
      </c>
      <c r="C364">
        <v>189</v>
      </c>
      <c r="D364" t="s">
        <v>25</v>
      </c>
      <c r="E364" s="1">
        <v>45275</v>
      </c>
      <c r="F364">
        <v>6.8</v>
      </c>
      <c r="G364">
        <v>4300</v>
      </c>
      <c r="H364">
        <v>6.4</v>
      </c>
      <c r="I364">
        <v>95</v>
      </c>
      <c r="J364">
        <v>85</v>
      </c>
      <c r="K364">
        <v>86</v>
      </c>
    </row>
    <row r="365" spans="1:11" x14ac:dyDescent="0.3">
      <c r="A365" t="s">
        <v>745</v>
      </c>
      <c r="B365" t="s">
        <v>746</v>
      </c>
      <c r="C365">
        <v>121</v>
      </c>
      <c r="D365" t="s">
        <v>15</v>
      </c>
      <c r="E365" s="1">
        <v>45233</v>
      </c>
      <c r="F365">
        <v>7.1</v>
      </c>
      <c r="G365">
        <v>43000</v>
      </c>
      <c r="H365">
        <v>7.0789999999999997</v>
      </c>
      <c r="I365">
        <v>537</v>
      </c>
      <c r="J365">
        <v>63</v>
      </c>
      <c r="K365">
        <v>86</v>
      </c>
    </row>
    <row r="366" spans="1:11" x14ac:dyDescent="0.3">
      <c r="A366" t="s">
        <v>747</v>
      </c>
      <c r="B366" t="s">
        <v>748</v>
      </c>
      <c r="C366">
        <v>113</v>
      </c>
      <c r="D366" t="s">
        <v>28</v>
      </c>
      <c r="E366" s="1">
        <v>45205</v>
      </c>
      <c r="F366">
        <v>6.4</v>
      </c>
      <c r="G366">
        <v>44000</v>
      </c>
      <c r="H366">
        <v>6.3179999999999996</v>
      </c>
      <c r="I366">
        <v>615</v>
      </c>
      <c r="J366">
        <v>73</v>
      </c>
      <c r="K366">
        <v>86</v>
      </c>
    </row>
    <row r="367" spans="1:11" x14ac:dyDescent="0.3">
      <c r="A367" t="s">
        <v>749</v>
      </c>
      <c r="B367" t="s">
        <v>750</v>
      </c>
      <c r="C367">
        <v>92</v>
      </c>
      <c r="D367" t="s">
        <v>15</v>
      </c>
      <c r="E367" s="1">
        <v>45183</v>
      </c>
      <c r="F367">
        <v>6.9</v>
      </c>
      <c r="G367">
        <v>18000</v>
      </c>
      <c r="H367">
        <v>6.5069999999999997</v>
      </c>
      <c r="I367">
        <v>205</v>
      </c>
      <c r="J367">
        <v>70</v>
      </c>
      <c r="K367">
        <v>86</v>
      </c>
    </row>
    <row r="368" spans="1:11" x14ac:dyDescent="0.3">
      <c r="A368" t="s">
        <v>751</v>
      </c>
      <c r="B368" t="s">
        <v>752</v>
      </c>
      <c r="C368">
        <v>87</v>
      </c>
      <c r="D368" t="s">
        <v>15</v>
      </c>
      <c r="E368" s="1">
        <v>45149</v>
      </c>
      <c r="F368">
        <v>6.8</v>
      </c>
      <c r="G368">
        <v>15000</v>
      </c>
      <c r="H368">
        <v>7.2</v>
      </c>
      <c r="I368">
        <v>383</v>
      </c>
      <c r="J368">
        <v>57</v>
      </c>
      <c r="K368">
        <v>86</v>
      </c>
    </row>
    <row r="369" spans="1:11" x14ac:dyDescent="0.3">
      <c r="A369" t="s">
        <v>753</v>
      </c>
      <c r="B369" t="s">
        <v>754</v>
      </c>
      <c r="C369">
        <v>107</v>
      </c>
      <c r="D369" t="s">
        <v>15</v>
      </c>
      <c r="E369" s="1">
        <v>44942</v>
      </c>
      <c r="F369">
        <v>7.1</v>
      </c>
      <c r="G369">
        <v>15000</v>
      </c>
      <c r="H369">
        <v>6.8479999999999999</v>
      </c>
      <c r="I369">
        <v>128</v>
      </c>
      <c r="J369">
        <v>60</v>
      </c>
      <c r="K369">
        <v>86</v>
      </c>
    </row>
    <row r="370" spans="1:11" x14ac:dyDescent="0.3">
      <c r="A370" t="s">
        <v>755</v>
      </c>
      <c r="B370" t="s">
        <v>756</v>
      </c>
      <c r="C370">
        <v>83</v>
      </c>
      <c r="D370" t="s">
        <v>28</v>
      </c>
      <c r="E370" s="1">
        <v>44939</v>
      </c>
      <c r="F370">
        <v>6</v>
      </c>
      <c r="G370">
        <v>23000</v>
      </c>
      <c r="H370">
        <v>6.141</v>
      </c>
      <c r="I370">
        <v>341</v>
      </c>
      <c r="J370">
        <v>62</v>
      </c>
      <c r="K370">
        <v>86</v>
      </c>
    </row>
    <row r="371" spans="1:11" x14ac:dyDescent="0.3">
      <c r="A371" t="s">
        <v>757</v>
      </c>
      <c r="B371" t="s">
        <v>758</v>
      </c>
      <c r="C371">
        <v>126</v>
      </c>
      <c r="D371" t="s">
        <v>28</v>
      </c>
      <c r="E371" s="1">
        <v>44897</v>
      </c>
      <c r="F371">
        <v>6.6</v>
      </c>
      <c r="G371">
        <v>25000</v>
      </c>
      <c r="H371">
        <v>6.6710000000000003</v>
      </c>
      <c r="I371">
        <v>508</v>
      </c>
      <c r="J371">
        <v>67</v>
      </c>
      <c r="K371">
        <v>86</v>
      </c>
    </row>
    <row r="372" spans="1:11" x14ac:dyDescent="0.3">
      <c r="A372" t="s">
        <v>759</v>
      </c>
      <c r="B372" t="s">
        <v>760</v>
      </c>
      <c r="C372">
        <v>98</v>
      </c>
      <c r="D372" t="s">
        <v>28</v>
      </c>
      <c r="E372" s="1">
        <v>44820</v>
      </c>
      <c r="F372">
        <v>6.4</v>
      </c>
      <c r="G372">
        <v>26000</v>
      </c>
      <c r="H372">
        <v>6.24</v>
      </c>
      <c r="I372">
        <v>386</v>
      </c>
      <c r="J372">
        <v>64</v>
      </c>
      <c r="K372">
        <v>86</v>
      </c>
    </row>
    <row r="373" spans="1:11" x14ac:dyDescent="0.3">
      <c r="A373" t="s">
        <v>761</v>
      </c>
      <c r="B373" t="s">
        <v>762</v>
      </c>
      <c r="C373">
        <v>118</v>
      </c>
      <c r="D373" t="s">
        <v>63</v>
      </c>
      <c r="E373" s="1">
        <v>44820</v>
      </c>
      <c r="F373">
        <v>6.3</v>
      </c>
      <c r="G373">
        <v>54000</v>
      </c>
      <c r="H373">
        <v>6.4</v>
      </c>
      <c r="I373">
        <v>976</v>
      </c>
      <c r="J373">
        <v>66</v>
      </c>
      <c r="K373">
        <v>86</v>
      </c>
    </row>
    <row r="374" spans="1:11" x14ac:dyDescent="0.3">
      <c r="A374" t="s">
        <v>763</v>
      </c>
      <c r="B374" t="s">
        <v>764</v>
      </c>
      <c r="C374">
        <v>94</v>
      </c>
      <c r="D374" t="s">
        <v>28</v>
      </c>
      <c r="E374" s="1">
        <v>44785</v>
      </c>
      <c r="F374">
        <v>6.2</v>
      </c>
      <c r="G374">
        <v>83000</v>
      </c>
      <c r="H374">
        <v>6.2</v>
      </c>
      <c r="I374">
        <v>1432</v>
      </c>
      <c r="J374">
        <v>69</v>
      </c>
      <c r="K374">
        <v>86</v>
      </c>
    </row>
    <row r="375" spans="1:11" x14ac:dyDescent="0.3">
      <c r="A375" t="s">
        <v>765</v>
      </c>
      <c r="B375" t="s">
        <v>766</v>
      </c>
      <c r="C375">
        <v>98</v>
      </c>
      <c r="D375" t="s">
        <v>63</v>
      </c>
      <c r="E375" s="1">
        <v>44771</v>
      </c>
      <c r="F375">
        <v>6.5</v>
      </c>
      <c r="G375">
        <v>11000</v>
      </c>
      <c r="H375">
        <v>7.444</v>
      </c>
      <c r="I375">
        <v>433</v>
      </c>
      <c r="J375">
        <v>66</v>
      </c>
      <c r="K375">
        <v>86</v>
      </c>
    </row>
    <row r="376" spans="1:11" x14ac:dyDescent="0.3">
      <c r="A376" t="s">
        <v>767</v>
      </c>
      <c r="B376" t="s">
        <v>768</v>
      </c>
      <c r="C376">
        <v>129</v>
      </c>
      <c r="D376" t="s">
        <v>28</v>
      </c>
      <c r="E376" s="1">
        <v>44678</v>
      </c>
      <c r="F376">
        <v>6.7</v>
      </c>
      <c r="G376">
        <v>6700</v>
      </c>
      <c r="H376">
        <v>6.8319999999999999</v>
      </c>
      <c r="I376">
        <v>196</v>
      </c>
      <c r="J376">
        <v>71</v>
      </c>
      <c r="K376">
        <v>86</v>
      </c>
    </row>
    <row r="377" spans="1:11" x14ac:dyDescent="0.3">
      <c r="A377" t="s">
        <v>769</v>
      </c>
      <c r="B377" t="s">
        <v>770</v>
      </c>
      <c r="C377">
        <v>106</v>
      </c>
      <c r="D377" t="s">
        <v>15</v>
      </c>
      <c r="E377" s="1">
        <v>44638</v>
      </c>
      <c r="F377">
        <v>7</v>
      </c>
      <c r="G377">
        <v>8500</v>
      </c>
      <c r="H377">
        <v>6.8</v>
      </c>
      <c r="I377">
        <v>130</v>
      </c>
      <c r="J377">
        <v>65</v>
      </c>
      <c r="K377">
        <v>86</v>
      </c>
    </row>
    <row r="378" spans="1:11" x14ac:dyDescent="0.3">
      <c r="A378" t="s">
        <v>771</v>
      </c>
      <c r="B378" t="s">
        <v>772</v>
      </c>
      <c r="C378">
        <v>105</v>
      </c>
      <c r="D378" t="s">
        <v>28</v>
      </c>
      <c r="E378" s="1">
        <v>44638</v>
      </c>
      <c r="F378">
        <v>7.2</v>
      </c>
      <c r="G378">
        <v>81000</v>
      </c>
      <c r="H378">
        <v>7.0860000000000003</v>
      </c>
      <c r="I378">
        <v>1329</v>
      </c>
      <c r="J378">
        <v>69</v>
      </c>
      <c r="K378">
        <v>86</v>
      </c>
    </row>
    <row r="379" spans="1:11" x14ac:dyDescent="0.3">
      <c r="A379" t="s">
        <v>773</v>
      </c>
      <c r="B379" t="s">
        <v>774</v>
      </c>
      <c r="C379">
        <v>122</v>
      </c>
      <c r="D379" t="s">
        <v>15</v>
      </c>
      <c r="E379" s="1">
        <v>45702</v>
      </c>
      <c r="F379">
        <v>7.8</v>
      </c>
      <c r="G379">
        <v>2500</v>
      </c>
      <c r="H379">
        <v>7.3879999999999999</v>
      </c>
      <c r="I379">
        <v>116</v>
      </c>
      <c r="J379">
        <v>64</v>
      </c>
      <c r="K379">
        <v>85</v>
      </c>
    </row>
    <row r="380" spans="1:11" x14ac:dyDescent="0.3">
      <c r="A380" t="s">
        <v>775</v>
      </c>
      <c r="B380" t="s">
        <v>776</v>
      </c>
      <c r="C380">
        <v>132</v>
      </c>
      <c r="D380" t="s">
        <v>28</v>
      </c>
      <c r="E380" s="1">
        <v>45651</v>
      </c>
      <c r="F380">
        <v>7.3</v>
      </c>
      <c r="G380">
        <v>182000</v>
      </c>
      <c r="H380">
        <v>6.7119999999999997</v>
      </c>
      <c r="I380">
        <v>3569</v>
      </c>
      <c r="J380">
        <v>78</v>
      </c>
      <c r="K380">
        <v>85</v>
      </c>
    </row>
    <row r="381" spans="1:11" x14ac:dyDescent="0.3">
      <c r="A381" t="s">
        <v>777</v>
      </c>
      <c r="B381" t="s">
        <v>778</v>
      </c>
      <c r="C381">
        <v>126</v>
      </c>
      <c r="D381" t="s">
        <v>28</v>
      </c>
      <c r="E381" s="1">
        <v>45527</v>
      </c>
      <c r="F381">
        <v>5.7</v>
      </c>
      <c r="G381">
        <v>12000</v>
      </c>
      <c r="H381">
        <v>6.2450000000000001</v>
      </c>
      <c r="I381">
        <v>529</v>
      </c>
      <c r="J381">
        <v>60</v>
      </c>
      <c r="K381">
        <v>85</v>
      </c>
    </row>
    <row r="382" spans="1:11" x14ac:dyDescent="0.3">
      <c r="A382" t="s">
        <v>779</v>
      </c>
      <c r="B382" t="s">
        <v>780</v>
      </c>
      <c r="C382">
        <v>101</v>
      </c>
      <c r="D382" t="s">
        <v>28</v>
      </c>
      <c r="E382" s="1">
        <v>45485</v>
      </c>
      <c r="F382">
        <v>6.6</v>
      </c>
      <c r="G382">
        <v>180000</v>
      </c>
      <c r="H382">
        <v>6.53</v>
      </c>
      <c r="I382">
        <v>2579</v>
      </c>
      <c r="J382">
        <v>77</v>
      </c>
      <c r="K382">
        <v>85</v>
      </c>
    </row>
    <row r="383" spans="1:11" x14ac:dyDescent="0.3">
      <c r="A383" t="s">
        <v>781</v>
      </c>
      <c r="B383" t="s">
        <v>782</v>
      </c>
      <c r="C383">
        <v>113</v>
      </c>
      <c r="D383" t="s">
        <v>15</v>
      </c>
      <c r="E383" s="1">
        <v>45471</v>
      </c>
      <c r="F383">
        <v>6.2</v>
      </c>
      <c r="G383">
        <v>3000</v>
      </c>
      <c r="H383">
        <v>6.1550000000000002</v>
      </c>
      <c r="I383">
        <v>55</v>
      </c>
      <c r="J383">
        <v>83</v>
      </c>
      <c r="K383">
        <v>85</v>
      </c>
    </row>
    <row r="384" spans="1:11" x14ac:dyDescent="0.3">
      <c r="A384" t="s">
        <v>783</v>
      </c>
      <c r="B384" t="s">
        <v>784</v>
      </c>
      <c r="C384">
        <v>100</v>
      </c>
      <c r="D384" t="s">
        <v>15</v>
      </c>
      <c r="E384" s="1">
        <v>45429</v>
      </c>
      <c r="F384">
        <v>5.8</v>
      </c>
      <c r="G384">
        <v>35000</v>
      </c>
      <c r="H384">
        <v>6.1</v>
      </c>
      <c r="I384">
        <v>654</v>
      </c>
      <c r="J384">
        <v>86</v>
      </c>
      <c r="K384">
        <v>85</v>
      </c>
    </row>
    <row r="385" spans="1:11" x14ac:dyDescent="0.3">
      <c r="A385" t="s">
        <v>785</v>
      </c>
      <c r="B385" t="s">
        <v>786</v>
      </c>
      <c r="C385">
        <v>104</v>
      </c>
      <c r="D385" t="s">
        <v>28</v>
      </c>
      <c r="E385" s="1">
        <v>45373</v>
      </c>
      <c r="F385">
        <v>6.8</v>
      </c>
      <c r="G385">
        <v>8200</v>
      </c>
      <c r="H385">
        <v>6.8090000000000002</v>
      </c>
      <c r="I385">
        <v>144</v>
      </c>
      <c r="J385">
        <v>68</v>
      </c>
      <c r="K385">
        <v>85</v>
      </c>
    </row>
    <row r="386" spans="1:11" x14ac:dyDescent="0.3">
      <c r="A386" t="s">
        <v>787</v>
      </c>
      <c r="B386" t="s">
        <v>788</v>
      </c>
      <c r="C386">
        <v>108</v>
      </c>
      <c r="D386" t="s">
        <v>28</v>
      </c>
      <c r="E386" s="1">
        <v>45358</v>
      </c>
      <c r="F386">
        <v>7</v>
      </c>
      <c r="G386">
        <v>472</v>
      </c>
      <c r="H386">
        <v>6.9</v>
      </c>
      <c r="I386">
        <v>28</v>
      </c>
      <c r="J386">
        <v>64</v>
      </c>
      <c r="K386">
        <v>85</v>
      </c>
    </row>
    <row r="387" spans="1:11" x14ac:dyDescent="0.3">
      <c r="A387" t="s">
        <v>789</v>
      </c>
      <c r="B387" t="s">
        <v>790</v>
      </c>
      <c r="C387">
        <v>88</v>
      </c>
      <c r="D387" t="s">
        <v>28</v>
      </c>
      <c r="E387" s="1">
        <v>45331</v>
      </c>
      <c r="F387">
        <v>5.5</v>
      </c>
      <c r="G387">
        <v>7100</v>
      </c>
      <c r="H387">
        <v>5.7</v>
      </c>
      <c r="I387">
        <v>124</v>
      </c>
      <c r="J387">
        <v>68</v>
      </c>
      <c r="K387">
        <v>85</v>
      </c>
    </row>
    <row r="388" spans="1:11" x14ac:dyDescent="0.3">
      <c r="A388" t="s">
        <v>791</v>
      </c>
      <c r="B388" t="s">
        <v>792</v>
      </c>
      <c r="C388">
        <v>103</v>
      </c>
      <c r="D388" t="s">
        <v>28</v>
      </c>
      <c r="E388" s="1">
        <v>45296</v>
      </c>
      <c r="F388">
        <v>6.7</v>
      </c>
      <c r="G388">
        <v>8800</v>
      </c>
      <c r="H388">
        <v>7.1</v>
      </c>
      <c r="I388">
        <v>203</v>
      </c>
      <c r="J388">
        <v>71</v>
      </c>
      <c r="K388">
        <v>85</v>
      </c>
    </row>
    <row r="389" spans="1:11" x14ac:dyDescent="0.3">
      <c r="A389" t="s">
        <v>793</v>
      </c>
      <c r="B389" t="s">
        <v>778</v>
      </c>
      <c r="C389">
        <v>118</v>
      </c>
      <c r="D389" t="s">
        <v>28</v>
      </c>
      <c r="E389" s="1">
        <v>45240</v>
      </c>
      <c r="F389">
        <v>6.7</v>
      </c>
      <c r="G389">
        <v>209000</v>
      </c>
      <c r="H389">
        <v>6.6</v>
      </c>
      <c r="I389">
        <v>2764</v>
      </c>
      <c r="J389">
        <v>73</v>
      </c>
      <c r="K389">
        <v>85</v>
      </c>
    </row>
    <row r="390" spans="1:11" x14ac:dyDescent="0.3">
      <c r="A390" t="s">
        <v>794</v>
      </c>
      <c r="B390" t="s">
        <v>795</v>
      </c>
      <c r="C390">
        <v>106</v>
      </c>
      <c r="D390" t="s">
        <v>28</v>
      </c>
      <c r="E390" s="1">
        <v>45205</v>
      </c>
      <c r="F390">
        <v>6.5</v>
      </c>
      <c r="G390">
        <v>62000</v>
      </c>
      <c r="H390">
        <v>6.7910000000000004</v>
      </c>
      <c r="I390">
        <v>1087</v>
      </c>
      <c r="J390">
        <v>62</v>
      </c>
      <c r="K390">
        <v>85</v>
      </c>
    </row>
    <row r="391" spans="1:11" x14ac:dyDescent="0.3">
      <c r="A391" t="s">
        <v>796</v>
      </c>
      <c r="B391" t="s">
        <v>797</v>
      </c>
      <c r="C391">
        <v>92</v>
      </c>
      <c r="D391" t="s">
        <v>28</v>
      </c>
      <c r="E391" s="1">
        <v>45142</v>
      </c>
      <c r="F391">
        <v>6.4</v>
      </c>
      <c r="G391">
        <v>4200</v>
      </c>
      <c r="H391">
        <v>6</v>
      </c>
      <c r="I391">
        <v>83</v>
      </c>
      <c r="J391">
        <v>67</v>
      </c>
      <c r="K391">
        <v>85</v>
      </c>
    </row>
    <row r="392" spans="1:11" x14ac:dyDescent="0.3">
      <c r="A392" t="s">
        <v>798</v>
      </c>
      <c r="B392" t="s">
        <v>799</v>
      </c>
      <c r="C392">
        <v>103</v>
      </c>
      <c r="D392" t="s">
        <v>25</v>
      </c>
      <c r="E392" s="1">
        <v>45058</v>
      </c>
      <c r="F392">
        <v>6.7</v>
      </c>
      <c r="G392">
        <v>5600</v>
      </c>
      <c r="H392">
        <v>6.7089999999999996</v>
      </c>
      <c r="I392">
        <v>220</v>
      </c>
      <c r="J392">
        <v>68</v>
      </c>
      <c r="K392">
        <v>85</v>
      </c>
    </row>
    <row r="393" spans="1:11" x14ac:dyDescent="0.3">
      <c r="A393" t="s">
        <v>800</v>
      </c>
      <c r="B393" t="s">
        <v>801</v>
      </c>
      <c r="C393">
        <v>96</v>
      </c>
      <c r="D393" t="s">
        <v>28</v>
      </c>
      <c r="E393" s="1">
        <v>45037</v>
      </c>
      <c r="F393">
        <v>6.5</v>
      </c>
      <c r="G393">
        <v>154000</v>
      </c>
      <c r="H393">
        <v>6.9130000000000003</v>
      </c>
      <c r="I393">
        <v>3595</v>
      </c>
      <c r="J393">
        <v>69</v>
      </c>
      <c r="K393">
        <v>85</v>
      </c>
    </row>
    <row r="394" spans="1:11" x14ac:dyDescent="0.3">
      <c r="A394" t="s">
        <v>802</v>
      </c>
      <c r="B394" t="s">
        <v>803</v>
      </c>
      <c r="C394">
        <v>94</v>
      </c>
      <c r="D394" t="s">
        <v>28</v>
      </c>
      <c r="E394" s="1">
        <v>44904</v>
      </c>
      <c r="F394">
        <v>3.4</v>
      </c>
      <c r="G394">
        <v>1700</v>
      </c>
      <c r="H394">
        <v>2.2000000000000002</v>
      </c>
      <c r="I394">
        <v>5</v>
      </c>
      <c r="J394">
        <v>64</v>
      </c>
      <c r="K394">
        <v>85</v>
      </c>
    </row>
    <row r="395" spans="1:11" x14ac:dyDescent="0.3">
      <c r="A395" t="s">
        <v>804</v>
      </c>
      <c r="B395" t="s">
        <v>805</v>
      </c>
      <c r="C395">
        <v>108</v>
      </c>
      <c r="D395" t="s">
        <v>28</v>
      </c>
      <c r="E395" s="1">
        <v>44881</v>
      </c>
      <c r="F395">
        <v>6.6</v>
      </c>
      <c r="G395">
        <v>47000</v>
      </c>
      <c r="H395">
        <v>6.6</v>
      </c>
      <c r="I395">
        <v>938</v>
      </c>
      <c r="J395">
        <v>71</v>
      </c>
      <c r="K395">
        <v>85</v>
      </c>
    </row>
    <row r="396" spans="1:11" x14ac:dyDescent="0.3">
      <c r="A396" t="s">
        <v>806</v>
      </c>
      <c r="B396" t="s">
        <v>807</v>
      </c>
      <c r="C396">
        <v>108</v>
      </c>
      <c r="D396" t="s">
        <v>90</v>
      </c>
      <c r="E396" s="1">
        <v>44869</v>
      </c>
      <c r="F396">
        <v>6.9</v>
      </c>
      <c r="G396">
        <v>44000</v>
      </c>
      <c r="H396">
        <v>6.7050000000000001</v>
      </c>
      <c r="I396">
        <v>595</v>
      </c>
      <c r="J396">
        <v>70</v>
      </c>
      <c r="K396">
        <v>85</v>
      </c>
    </row>
    <row r="397" spans="1:11" x14ac:dyDescent="0.3">
      <c r="A397" t="s">
        <v>808</v>
      </c>
      <c r="B397" t="s">
        <v>809</v>
      </c>
      <c r="C397">
        <v>111</v>
      </c>
      <c r="D397" t="s">
        <v>18</v>
      </c>
      <c r="E397" s="1">
        <v>44834</v>
      </c>
      <c r="F397">
        <v>5.8</v>
      </c>
      <c r="G397">
        <v>3400</v>
      </c>
      <c r="H397">
        <v>5.5</v>
      </c>
      <c r="I397">
        <v>58</v>
      </c>
      <c r="J397">
        <v>79</v>
      </c>
      <c r="K397">
        <v>85</v>
      </c>
    </row>
    <row r="398" spans="1:11" x14ac:dyDescent="0.3">
      <c r="A398" t="s">
        <v>810</v>
      </c>
      <c r="B398" t="s">
        <v>811</v>
      </c>
      <c r="C398">
        <v>90</v>
      </c>
      <c r="D398" t="s">
        <v>12</v>
      </c>
      <c r="E398" s="1">
        <v>44834</v>
      </c>
      <c r="F398">
        <v>6.7</v>
      </c>
      <c r="G398">
        <v>9600</v>
      </c>
      <c r="H398">
        <v>6.3</v>
      </c>
      <c r="I398">
        <v>171</v>
      </c>
      <c r="J398">
        <v>66</v>
      </c>
      <c r="K398">
        <v>85</v>
      </c>
    </row>
    <row r="399" spans="1:11" x14ac:dyDescent="0.3">
      <c r="A399" t="s">
        <v>812</v>
      </c>
      <c r="B399" t="s">
        <v>813</v>
      </c>
      <c r="C399">
        <v>147</v>
      </c>
      <c r="D399" t="s">
        <v>15</v>
      </c>
      <c r="E399" s="1">
        <v>44778</v>
      </c>
      <c r="F399">
        <v>7.8</v>
      </c>
      <c r="G399">
        <v>73000</v>
      </c>
      <c r="H399">
        <v>7.8470000000000004</v>
      </c>
      <c r="I399">
        <v>1474</v>
      </c>
      <c r="J399">
        <v>66</v>
      </c>
      <c r="K399">
        <v>85</v>
      </c>
    </row>
    <row r="400" spans="1:11" x14ac:dyDescent="0.3">
      <c r="A400" t="s">
        <v>814</v>
      </c>
      <c r="B400" t="s">
        <v>815</v>
      </c>
      <c r="C400">
        <v>94</v>
      </c>
      <c r="D400" t="s">
        <v>28</v>
      </c>
      <c r="E400" s="1">
        <v>44743</v>
      </c>
      <c r="F400">
        <v>5.7</v>
      </c>
      <c r="G400">
        <v>16000</v>
      </c>
      <c r="H400">
        <v>6.8</v>
      </c>
      <c r="I400">
        <v>844</v>
      </c>
      <c r="J400">
        <v>43</v>
      </c>
      <c r="K400">
        <v>85</v>
      </c>
    </row>
    <row r="401" spans="1:11" x14ac:dyDescent="0.3">
      <c r="A401" t="s">
        <v>816</v>
      </c>
      <c r="B401" t="s">
        <v>817</v>
      </c>
      <c r="C401">
        <v>107</v>
      </c>
      <c r="D401" t="s">
        <v>28</v>
      </c>
      <c r="E401" s="1">
        <v>44729</v>
      </c>
      <c r="F401">
        <v>7.3</v>
      </c>
      <c r="G401">
        <v>29000</v>
      </c>
      <c r="H401">
        <v>7.141</v>
      </c>
      <c r="I401">
        <v>398</v>
      </c>
      <c r="J401">
        <v>69</v>
      </c>
      <c r="K401">
        <v>85</v>
      </c>
    </row>
    <row r="402" spans="1:11" x14ac:dyDescent="0.3">
      <c r="A402" t="s">
        <v>818</v>
      </c>
      <c r="B402" t="s">
        <v>819</v>
      </c>
      <c r="C402">
        <v>86</v>
      </c>
      <c r="D402" t="s">
        <v>28</v>
      </c>
      <c r="E402" s="1">
        <v>44694</v>
      </c>
      <c r="F402">
        <v>7</v>
      </c>
      <c r="G402">
        <v>9700</v>
      </c>
      <c r="H402">
        <v>6.5</v>
      </c>
      <c r="I402">
        <v>115</v>
      </c>
      <c r="J402">
        <v>74</v>
      </c>
      <c r="K402">
        <v>85</v>
      </c>
    </row>
    <row r="403" spans="1:11" x14ac:dyDescent="0.3">
      <c r="A403" t="s">
        <v>820</v>
      </c>
      <c r="B403" t="s">
        <v>821</v>
      </c>
      <c r="C403">
        <v>176</v>
      </c>
      <c r="D403" t="s">
        <v>15</v>
      </c>
      <c r="E403" s="1">
        <v>44624</v>
      </c>
      <c r="F403">
        <v>7.8</v>
      </c>
      <c r="G403">
        <v>864000</v>
      </c>
      <c r="H403">
        <v>7.6580000000000004</v>
      </c>
      <c r="I403">
        <v>11781</v>
      </c>
      <c r="J403">
        <v>72</v>
      </c>
      <c r="K403">
        <v>85</v>
      </c>
    </row>
    <row r="404" spans="1:11" x14ac:dyDescent="0.3">
      <c r="A404" t="s">
        <v>822</v>
      </c>
      <c r="B404" t="s">
        <v>823</v>
      </c>
      <c r="C404">
        <v>123</v>
      </c>
      <c r="D404" t="s">
        <v>15</v>
      </c>
      <c r="E404" s="1">
        <v>44617</v>
      </c>
      <c r="F404">
        <v>6.4</v>
      </c>
      <c r="G404">
        <v>16000</v>
      </c>
      <c r="H404">
        <v>6.3</v>
      </c>
      <c r="I404">
        <v>323</v>
      </c>
      <c r="J404">
        <v>66</v>
      </c>
      <c r="K404">
        <v>85</v>
      </c>
    </row>
    <row r="405" spans="1:11" x14ac:dyDescent="0.3">
      <c r="A405" t="s">
        <v>824</v>
      </c>
      <c r="B405" t="s">
        <v>825</v>
      </c>
      <c r="C405">
        <v>120</v>
      </c>
      <c r="D405" t="s">
        <v>28</v>
      </c>
      <c r="E405" s="1">
        <v>44610</v>
      </c>
      <c r="F405">
        <v>6</v>
      </c>
      <c r="G405">
        <v>4500</v>
      </c>
      <c r="H405">
        <v>6</v>
      </c>
      <c r="I405">
        <v>144</v>
      </c>
      <c r="J405">
        <v>70</v>
      </c>
      <c r="K405">
        <v>85</v>
      </c>
    </row>
    <row r="406" spans="1:11" x14ac:dyDescent="0.3">
      <c r="A406" t="s">
        <v>826</v>
      </c>
      <c r="B406" t="s">
        <v>827</v>
      </c>
      <c r="C406">
        <v>114</v>
      </c>
      <c r="D406" t="s">
        <v>28</v>
      </c>
      <c r="E406" s="1">
        <v>45750</v>
      </c>
      <c r="F406">
        <v>7.2</v>
      </c>
      <c r="G406">
        <v>727</v>
      </c>
      <c r="H406">
        <v>6.8230000000000004</v>
      </c>
      <c r="I406">
        <v>417</v>
      </c>
      <c r="J406">
        <v>65</v>
      </c>
      <c r="K406">
        <v>84</v>
      </c>
    </row>
    <row r="407" spans="1:11" x14ac:dyDescent="0.3">
      <c r="A407" t="s">
        <v>828</v>
      </c>
      <c r="B407" t="s">
        <v>829</v>
      </c>
      <c r="C407">
        <v>111</v>
      </c>
      <c r="D407" t="s">
        <v>28</v>
      </c>
      <c r="E407" s="1">
        <v>45527</v>
      </c>
      <c r="F407">
        <v>6.3</v>
      </c>
      <c r="G407">
        <v>2800</v>
      </c>
      <c r="H407">
        <v>5.5</v>
      </c>
      <c r="I407">
        <v>52</v>
      </c>
      <c r="J407">
        <v>83</v>
      </c>
      <c r="K407">
        <v>84</v>
      </c>
    </row>
    <row r="408" spans="1:11" x14ac:dyDescent="0.3">
      <c r="A408" t="s">
        <v>830</v>
      </c>
      <c r="B408" t="s">
        <v>831</v>
      </c>
      <c r="C408">
        <v>93</v>
      </c>
      <c r="D408" t="s">
        <v>15</v>
      </c>
      <c r="E408" s="1">
        <v>45387</v>
      </c>
      <c r="F408">
        <v>6.4</v>
      </c>
      <c r="G408">
        <v>9800</v>
      </c>
      <c r="H408">
        <v>6.1710000000000003</v>
      </c>
      <c r="I408">
        <v>430</v>
      </c>
      <c r="J408">
        <v>64</v>
      </c>
      <c r="K408">
        <v>84</v>
      </c>
    </row>
    <row r="409" spans="1:11" x14ac:dyDescent="0.3">
      <c r="A409" t="s">
        <v>832</v>
      </c>
      <c r="B409" t="s">
        <v>833</v>
      </c>
      <c r="C409">
        <v>118</v>
      </c>
      <c r="D409" t="s">
        <v>12</v>
      </c>
      <c r="E409" s="1">
        <v>45345</v>
      </c>
      <c r="F409">
        <v>7.4</v>
      </c>
      <c r="G409">
        <v>15000</v>
      </c>
      <c r="H409">
        <v>7.6849999999999996</v>
      </c>
      <c r="I409">
        <v>372</v>
      </c>
      <c r="J409">
        <v>57</v>
      </c>
      <c r="K409">
        <v>84</v>
      </c>
    </row>
    <row r="410" spans="1:11" x14ac:dyDescent="0.3">
      <c r="A410" t="s">
        <v>834</v>
      </c>
      <c r="B410" t="s">
        <v>835</v>
      </c>
      <c r="C410">
        <v>106</v>
      </c>
      <c r="D410" t="s">
        <v>28</v>
      </c>
      <c r="E410" s="1">
        <v>45275</v>
      </c>
      <c r="F410">
        <v>6.3</v>
      </c>
      <c r="G410">
        <v>1600</v>
      </c>
      <c r="H410">
        <v>5.5830000000000002</v>
      </c>
      <c r="I410">
        <v>48</v>
      </c>
      <c r="J410">
        <v>75</v>
      </c>
      <c r="K410">
        <v>84</v>
      </c>
    </row>
    <row r="411" spans="1:11" x14ac:dyDescent="0.3">
      <c r="A411" t="s">
        <v>836</v>
      </c>
      <c r="B411" t="s">
        <v>837</v>
      </c>
      <c r="C411">
        <v>107</v>
      </c>
      <c r="D411" t="s">
        <v>28</v>
      </c>
      <c r="E411" s="1">
        <v>45265</v>
      </c>
      <c r="F411">
        <v>6.2</v>
      </c>
      <c r="G411">
        <v>4300</v>
      </c>
      <c r="H411">
        <v>5.9</v>
      </c>
      <c r="I411">
        <v>37</v>
      </c>
      <c r="J411">
        <v>61</v>
      </c>
      <c r="K411">
        <v>84</v>
      </c>
    </row>
    <row r="412" spans="1:11" x14ac:dyDescent="0.3">
      <c r="A412" t="s">
        <v>838</v>
      </c>
      <c r="B412" t="s">
        <v>839</v>
      </c>
      <c r="C412">
        <v>113</v>
      </c>
      <c r="D412" t="s">
        <v>28</v>
      </c>
      <c r="E412" s="1">
        <v>45233</v>
      </c>
      <c r="F412">
        <v>6.5</v>
      </c>
      <c r="G412">
        <v>46000</v>
      </c>
      <c r="H412">
        <v>6.7160000000000002</v>
      </c>
      <c r="I412">
        <v>1063</v>
      </c>
      <c r="J412">
        <v>79</v>
      </c>
      <c r="K412">
        <v>84</v>
      </c>
    </row>
    <row r="413" spans="1:11" x14ac:dyDescent="0.3">
      <c r="A413" t="s">
        <v>840</v>
      </c>
      <c r="B413" t="s">
        <v>841</v>
      </c>
      <c r="C413">
        <v>105</v>
      </c>
      <c r="D413" t="s">
        <v>28</v>
      </c>
      <c r="E413" s="1">
        <v>45198</v>
      </c>
      <c r="F413">
        <v>6.9</v>
      </c>
      <c r="G413">
        <v>56000</v>
      </c>
      <c r="H413">
        <v>6.6689999999999996</v>
      </c>
      <c r="I413">
        <v>782</v>
      </c>
      <c r="J413">
        <v>66</v>
      </c>
      <c r="K413">
        <v>84</v>
      </c>
    </row>
    <row r="414" spans="1:11" x14ac:dyDescent="0.3">
      <c r="A414" t="s">
        <v>842</v>
      </c>
      <c r="B414" t="s">
        <v>843</v>
      </c>
      <c r="C414">
        <v>91</v>
      </c>
      <c r="D414" t="s">
        <v>18</v>
      </c>
      <c r="E414" s="1">
        <v>45100</v>
      </c>
      <c r="F414">
        <v>5.4</v>
      </c>
      <c r="G414">
        <v>2300</v>
      </c>
      <c r="H414">
        <v>6.0709999999999997</v>
      </c>
      <c r="I414">
        <v>70</v>
      </c>
      <c r="J414">
        <v>62</v>
      </c>
      <c r="K414">
        <v>84</v>
      </c>
    </row>
    <row r="415" spans="1:11" x14ac:dyDescent="0.3">
      <c r="A415" t="s">
        <v>844</v>
      </c>
      <c r="B415" t="s">
        <v>845</v>
      </c>
      <c r="C415">
        <v>132</v>
      </c>
      <c r="D415" t="s">
        <v>25</v>
      </c>
      <c r="E415" s="1">
        <v>45001</v>
      </c>
      <c r="F415">
        <v>5.8</v>
      </c>
      <c r="G415">
        <v>905</v>
      </c>
      <c r="H415">
        <v>5.7</v>
      </c>
      <c r="I415">
        <v>31</v>
      </c>
      <c r="J415">
        <v>67</v>
      </c>
      <c r="K415">
        <v>84</v>
      </c>
    </row>
    <row r="416" spans="1:11" x14ac:dyDescent="0.3">
      <c r="A416" t="s">
        <v>846</v>
      </c>
      <c r="B416" t="s">
        <v>847</v>
      </c>
      <c r="C416">
        <v>89</v>
      </c>
      <c r="D416" t="s">
        <v>28</v>
      </c>
      <c r="E416" s="1">
        <v>44946</v>
      </c>
      <c r="F416">
        <v>5.6</v>
      </c>
      <c r="G416">
        <v>13000</v>
      </c>
      <c r="H416">
        <v>5.6</v>
      </c>
      <c r="I416">
        <v>305</v>
      </c>
      <c r="J416">
        <v>65</v>
      </c>
      <c r="K416">
        <v>84</v>
      </c>
    </row>
    <row r="417" spans="1:11" x14ac:dyDescent="0.3">
      <c r="A417" t="s">
        <v>848</v>
      </c>
      <c r="B417" t="s">
        <v>849</v>
      </c>
      <c r="C417">
        <v>161</v>
      </c>
      <c r="D417" t="s">
        <v>15</v>
      </c>
      <c r="E417" s="1">
        <v>44876</v>
      </c>
      <c r="F417">
        <v>6.6</v>
      </c>
      <c r="G417">
        <v>327000</v>
      </c>
      <c r="H417">
        <v>7.008</v>
      </c>
      <c r="I417">
        <v>7385</v>
      </c>
      <c r="J417">
        <v>67</v>
      </c>
      <c r="K417">
        <v>84</v>
      </c>
    </row>
    <row r="418" spans="1:11" x14ac:dyDescent="0.3">
      <c r="A418" t="s">
        <v>850</v>
      </c>
      <c r="B418" t="s">
        <v>851</v>
      </c>
      <c r="C418">
        <v>94</v>
      </c>
      <c r="D418" t="s">
        <v>28</v>
      </c>
      <c r="E418" s="1">
        <v>44869</v>
      </c>
      <c r="F418">
        <v>6.6</v>
      </c>
      <c r="G418">
        <v>25000</v>
      </c>
      <c r="H418">
        <v>6.4859999999999998</v>
      </c>
      <c r="I418">
        <v>553</v>
      </c>
      <c r="J418">
        <v>66</v>
      </c>
      <c r="K418">
        <v>84</v>
      </c>
    </row>
    <row r="419" spans="1:11" x14ac:dyDescent="0.3">
      <c r="A419" t="s">
        <v>852</v>
      </c>
      <c r="B419" t="s">
        <v>853</v>
      </c>
      <c r="C419">
        <v>94</v>
      </c>
      <c r="D419" t="s">
        <v>25</v>
      </c>
      <c r="E419" s="1">
        <v>45702</v>
      </c>
      <c r="F419">
        <v>4.7</v>
      </c>
      <c r="G419">
        <v>843</v>
      </c>
      <c r="H419">
        <v>5.4</v>
      </c>
      <c r="I419">
        <v>18</v>
      </c>
      <c r="J419">
        <v>53</v>
      </c>
      <c r="K419">
        <v>83</v>
      </c>
    </row>
    <row r="420" spans="1:11" x14ac:dyDescent="0.3">
      <c r="A420" t="s">
        <v>854</v>
      </c>
      <c r="B420" t="s">
        <v>855</v>
      </c>
      <c r="C420">
        <v>88</v>
      </c>
      <c r="D420" t="s">
        <v>28</v>
      </c>
      <c r="E420" s="1">
        <v>45667</v>
      </c>
      <c r="F420">
        <v>6.5</v>
      </c>
      <c r="G420">
        <v>9300</v>
      </c>
      <c r="H420">
        <v>6.4089999999999998</v>
      </c>
      <c r="I420">
        <v>270</v>
      </c>
      <c r="J420">
        <v>66</v>
      </c>
      <c r="K420">
        <v>83</v>
      </c>
    </row>
    <row r="421" spans="1:11" x14ac:dyDescent="0.3">
      <c r="A421" t="s">
        <v>856</v>
      </c>
      <c r="B421" t="s">
        <v>857</v>
      </c>
      <c r="C421">
        <v>93</v>
      </c>
      <c r="D421" t="s">
        <v>12</v>
      </c>
      <c r="E421" s="1">
        <v>45576</v>
      </c>
      <c r="F421">
        <v>6.9</v>
      </c>
      <c r="G421">
        <v>5200</v>
      </c>
      <c r="H421">
        <v>7.2460000000000004</v>
      </c>
      <c r="I421">
        <v>142</v>
      </c>
      <c r="J421">
        <v>63</v>
      </c>
      <c r="K421">
        <v>83</v>
      </c>
    </row>
    <row r="422" spans="1:11" x14ac:dyDescent="0.3">
      <c r="A422" t="s">
        <v>858</v>
      </c>
      <c r="B422" t="s">
        <v>859</v>
      </c>
      <c r="C422">
        <v>110</v>
      </c>
      <c r="D422" t="s">
        <v>28</v>
      </c>
      <c r="E422" s="1">
        <v>45548</v>
      </c>
      <c r="F422">
        <v>6.8</v>
      </c>
      <c r="G422">
        <v>93000</v>
      </c>
      <c r="H422">
        <v>7.1360000000000001</v>
      </c>
      <c r="I422">
        <v>2038</v>
      </c>
      <c r="J422">
        <v>66</v>
      </c>
      <c r="K422">
        <v>83</v>
      </c>
    </row>
    <row r="423" spans="1:11" x14ac:dyDescent="0.3">
      <c r="A423" t="s">
        <v>860</v>
      </c>
      <c r="B423" t="s">
        <v>861</v>
      </c>
      <c r="C423">
        <v>93</v>
      </c>
      <c r="D423" t="s">
        <v>862</v>
      </c>
      <c r="E423" s="1">
        <v>45435</v>
      </c>
      <c r="F423">
        <v>7.3</v>
      </c>
      <c r="G423">
        <v>2700</v>
      </c>
      <c r="H423">
        <v>6.6</v>
      </c>
      <c r="I423">
        <v>30</v>
      </c>
      <c r="J423">
        <v>66</v>
      </c>
      <c r="K423">
        <v>83</v>
      </c>
    </row>
    <row r="424" spans="1:11" x14ac:dyDescent="0.3">
      <c r="A424" t="s">
        <v>863</v>
      </c>
      <c r="B424" t="s">
        <v>864</v>
      </c>
      <c r="C424">
        <v>109</v>
      </c>
      <c r="D424" t="s">
        <v>28</v>
      </c>
      <c r="E424" s="1">
        <v>45401</v>
      </c>
      <c r="F424">
        <v>6.6</v>
      </c>
      <c r="G424">
        <v>95000</v>
      </c>
      <c r="H424">
        <v>6.6719999999999997</v>
      </c>
      <c r="I424">
        <v>2014</v>
      </c>
      <c r="J424">
        <v>62</v>
      </c>
      <c r="K424">
        <v>83</v>
      </c>
    </row>
    <row r="425" spans="1:11" x14ac:dyDescent="0.3">
      <c r="A425" t="s">
        <v>865</v>
      </c>
      <c r="B425" t="s">
        <v>866</v>
      </c>
      <c r="C425">
        <v>119</v>
      </c>
      <c r="D425" t="s">
        <v>28</v>
      </c>
      <c r="E425" s="1">
        <v>45387</v>
      </c>
      <c r="F425">
        <v>6.5</v>
      </c>
      <c r="G425">
        <v>63000</v>
      </c>
      <c r="H425">
        <v>6.82</v>
      </c>
      <c r="I425">
        <v>1272</v>
      </c>
      <c r="J425">
        <v>65</v>
      </c>
      <c r="K425">
        <v>83</v>
      </c>
    </row>
    <row r="426" spans="1:11" x14ac:dyDescent="0.3">
      <c r="A426" t="s">
        <v>867</v>
      </c>
      <c r="B426" t="s">
        <v>868</v>
      </c>
      <c r="C426">
        <v>106</v>
      </c>
      <c r="D426" t="s">
        <v>28</v>
      </c>
      <c r="E426" s="1">
        <v>45380</v>
      </c>
      <c r="F426">
        <v>6.4</v>
      </c>
      <c r="G426">
        <v>26000</v>
      </c>
      <c r="H426">
        <v>6.4660000000000002</v>
      </c>
      <c r="I426">
        <v>581</v>
      </c>
      <c r="J426">
        <v>60</v>
      </c>
      <c r="K426">
        <v>83</v>
      </c>
    </row>
    <row r="427" spans="1:11" x14ac:dyDescent="0.3">
      <c r="A427" t="s">
        <v>869</v>
      </c>
      <c r="B427" t="s">
        <v>870</v>
      </c>
      <c r="C427">
        <v>98</v>
      </c>
      <c r="D427" t="s">
        <v>12</v>
      </c>
      <c r="E427" s="1">
        <v>45275</v>
      </c>
      <c r="F427">
        <v>6.3</v>
      </c>
      <c r="G427">
        <v>27000</v>
      </c>
      <c r="H427">
        <v>6.9269999999999996</v>
      </c>
      <c r="I427">
        <v>872</v>
      </c>
      <c r="J427">
        <v>63</v>
      </c>
      <c r="K427">
        <v>83</v>
      </c>
    </row>
    <row r="428" spans="1:11" x14ac:dyDescent="0.3">
      <c r="A428" t="s">
        <v>871</v>
      </c>
      <c r="B428" t="s">
        <v>872</v>
      </c>
      <c r="C428">
        <v>106</v>
      </c>
      <c r="D428" t="s">
        <v>28</v>
      </c>
      <c r="E428" s="1">
        <v>45247</v>
      </c>
      <c r="F428">
        <v>6.2</v>
      </c>
      <c r="G428">
        <v>70000</v>
      </c>
      <c r="H428">
        <v>6.4720000000000004</v>
      </c>
      <c r="I428">
        <v>1548</v>
      </c>
      <c r="J428">
        <v>63</v>
      </c>
      <c r="K428">
        <v>83</v>
      </c>
    </row>
    <row r="429" spans="1:11" x14ac:dyDescent="0.3">
      <c r="A429" t="s">
        <v>873</v>
      </c>
      <c r="B429" t="s">
        <v>874</v>
      </c>
      <c r="C429">
        <v>93</v>
      </c>
      <c r="D429" t="s">
        <v>15</v>
      </c>
      <c r="E429" s="1">
        <v>45191</v>
      </c>
      <c r="F429">
        <v>6.3</v>
      </c>
      <c r="G429">
        <v>74000</v>
      </c>
      <c r="H429">
        <v>6.6760000000000002</v>
      </c>
      <c r="I429">
        <v>1418</v>
      </c>
      <c r="J429">
        <v>60</v>
      </c>
      <c r="K429">
        <v>83</v>
      </c>
    </row>
    <row r="430" spans="1:11" x14ac:dyDescent="0.3">
      <c r="A430" t="s">
        <v>875</v>
      </c>
      <c r="B430" t="s">
        <v>876</v>
      </c>
      <c r="C430">
        <v>173</v>
      </c>
      <c r="D430" t="s">
        <v>18</v>
      </c>
      <c r="E430" s="1">
        <v>44948</v>
      </c>
      <c r="F430">
        <v>6.7</v>
      </c>
      <c r="G430">
        <v>15000</v>
      </c>
      <c r="H430">
        <v>7.2919999999999998</v>
      </c>
      <c r="I430">
        <v>705</v>
      </c>
      <c r="J430">
        <v>56</v>
      </c>
      <c r="K430">
        <v>83</v>
      </c>
    </row>
    <row r="431" spans="1:11" x14ac:dyDescent="0.3">
      <c r="A431" t="s">
        <v>877</v>
      </c>
      <c r="B431" t="s">
        <v>878</v>
      </c>
      <c r="C431">
        <v>130</v>
      </c>
      <c r="D431" t="s">
        <v>28</v>
      </c>
      <c r="E431" s="1">
        <v>44764</v>
      </c>
      <c r="F431">
        <v>6.8</v>
      </c>
      <c r="G431">
        <v>296000</v>
      </c>
      <c r="H431">
        <v>6.8220000000000001</v>
      </c>
      <c r="I431">
        <v>4808</v>
      </c>
      <c r="J431">
        <v>77</v>
      </c>
      <c r="K431">
        <v>83</v>
      </c>
    </row>
    <row r="432" spans="1:11" x14ac:dyDescent="0.3">
      <c r="A432" t="s">
        <v>879</v>
      </c>
      <c r="B432" t="s">
        <v>880</v>
      </c>
      <c r="C432">
        <v>117</v>
      </c>
      <c r="D432" t="s">
        <v>12</v>
      </c>
      <c r="E432" s="1">
        <v>44743</v>
      </c>
      <c r="F432">
        <v>6</v>
      </c>
      <c r="G432">
        <v>6200</v>
      </c>
      <c r="H432">
        <v>5.8</v>
      </c>
      <c r="I432">
        <v>115</v>
      </c>
      <c r="J432">
        <v>65</v>
      </c>
      <c r="K432">
        <v>83</v>
      </c>
    </row>
    <row r="433" spans="1:11" x14ac:dyDescent="0.3">
      <c r="A433" t="s">
        <v>881</v>
      </c>
      <c r="B433" t="s">
        <v>882</v>
      </c>
      <c r="C433">
        <v>128</v>
      </c>
      <c r="D433" t="s">
        <v>15</v>
      </c>
      <c r="E433" s="1">
        <v>44692</v>
      </c>
      <c r="F433">
        <v>6.6</v>
      </c>
      <c r="G433">
        <v>40000</v>
      </c>
      <c r="H433">
        <v>6.5149999999999997</v>
      </c>
      <c r="I433">
        <v>781</v>
      </c>
      <c r="J433">
        <v>65</v>
      </c>
      <c r="K433">
        <v>83</v>
      </c>
    </row>
    <row r="434" spans="1:11" x14ac:dyDescent="0.3">
      <c r="A434" t="s">
        <v>883</v>
      </c>
      <c r="B434" t="s">
        <v>884</v>
      </c>
      <c r="C434">
        <v>93</v>
      </c>
      <c r="D434" t="s">
        <v>63</v>
      </c>
      <c r="E434" s="1">
        <v>44680</v>
      </c>
      <c r="F434">
        <v>6.3</v>
      </c>
      <c r="G434">
        <v>11000</v>
      </c>
      <c r="H434">
        <v>7.3879999999999999</v>
      </c>
      <c r="I434">
        <v>483</v>
      </c>
      <c r="J434">
        <v>56</v>
      </c>
      <c r="K434">
        <v>83</v>
      </c>
    </row>
    <row r="435" spans="1:11" x14ac:dyDescent="0.3">
      <c r="A435" t="s">
        <v>885</v>
      </c>
      <c r="B435" t="s">
        <v>859</v>
      </c>
      <c r="C435">
        <v>97</v>
      </c>
      <c r="D435" t="s">
        <v>18</v>
      </c>
      <c r="E435" s="1">
        <v>44637</v>
      </c>
      <c r="F435">
        <v>6.6</v>
      </c>
      <c r="G435">
        <v>57000</v>
      </c>
      <c r="H435">
        <v>6.6520000000000001</v>
      </c>
      <c r="I435">
        <v>1087</v>
      </c>
      <c r="J435">
        <v>78</v>
      </c>
      <c r="K435">
        <v>83</v>
      </c>
    </row>
    <row r="436" spans="1:11" x14ac:dyDescent="0.3">
      <c r="A436" t="s">
        <v>886</v>
      </c>
      <c r="B436" t="s">
        <v>887</v>
      </c>
      <c r="C436">
        <v>89</v>
      </c>
      <c r="D436" t="s">
        <v>12</v>
      </c>
      <c r="E436" s="1">
        <v>45688</v>
      </c>
      <c r="F436">
        <v>6.3</v>
      </c>
      <c r="G436">
        <v>7400</v>
      </c>
      <c r="H436">
        <v>7.4</v>
      </c>
      <c r="I436">
        <v>345</v>
      </c>
      <c r="J436">
        <v>66</v>
      </c>
      <c r="K436">
        <v>82</v>
      </c>
    </row>
    <row r="437" spans="1:11" x14ac:dyDescent="0.3">
      <c r="A437" t="s">
        <v>888</v>
      </c>
      <c r="B437" t="s">
        <v>889</v>
      </c>
      <c r="C437">
        <v>141</v>
      </c>
      <c r="D437" t="s">
        <v>28</v>
      </c>
      <c r="E437" s="1">
        <v>45651</v>
      </c>
      <c r="F437">
        <v>7.4</v>
      </c>
      <c r="G437">
        <v>62000</v>
      </c>
      <c r="H437">
        <v>7.0830000000000002</v>
      </c>
      <c r="I437">
        <v>1407</v>
      </c>
      <c r="J437">
        <v>70</v>
      </c>
      <c r="K437">
        <v>82</v>
      </c>
    </row>
    <row r="438" spans="1:11" x14ac:dyDescent="0.3">
      <c r="A438" t="s">
        <v>890</v>
      </c>
      <c r="B438" t="s">
        <v>891</v>
      </c>
      <c r="C438">
        <v>89</v>
      </c>
      <c r="D438" t="s">
        <v>28</v>
      </c>
      <c r="E438" s="1">
        <v>45604</v>
      </c>
      <c r="F438">
        <v>6</v>
      </c>
      <c r="G438">
        <v>883</v>
      </c>
      <c r="H438">
        <v>6.2</v>
      </c>
      <c r="I438">
        <v>60</v>
      </c>
      <c r="J438">
        <v>66</v>
      </c>
      <c r="K438">
        <v>82</v>
      </c>
    </row>
    <row r="439" spans="1:11" x14ac:dyDescent="0.3">
      <c r="A439" t="s">
        <v>892</v>
      </c>
      <c r="B439" t="s">
        <v>893</v>
      </c>
      <c r="C439">
        <v>110</v>
      </c>
      <c r="D439" t="s">
        <v>28</v>
      </c>
      <c r="E439" s="1">
        <v>45582</v>
      </c>
      <c r="F439">
        <v>6.3</v>
      </c>
      <c r="G439">
        <v>5000</v>
      </c>
      <c r="H439">
        <v>6.4489999999999998</v>
      </c>
      <c r="I439">
        <v>107</v>
      </c>
      <c r="J439">
        <v>62</v>
      </c>
      <c r="K439">
        <v>82</v>
      </c>
    </row>
    <row r="440" spans="1:11" x14ac:dyDescent="0.3">
      <c r="A440" t="s">
        <v>894</v>
      </c>
      <c r="B440" t="s">
        <v>895</v>
      </c>
      <c r="C440">
        <v>122</v>
      </c>
      <c r="D440" t="s">
        <v>28</v>
      </c>
      <c r="E440" s="1">
        <v>45576</v>
      </c>
      <c r="F440">
        <v>7.1</v>
      </c>
      <c r="G440">
        <v>51000</v>
      </c>
      <c r="H440">
        <v>6.9</v>
      </c>
      <c r="I440">
        <v>936</v>
      </c>
      <c r="J440">
        <v>64</v>
      </c>
      <c r="K440">
        <v>82</v>
      </c>
    </row>
    <row r="441" spans="1:11" x14ac:dyDescent="0.3">
      <c r="A441" t="s">
        <v>896</v>
      </c>
      <c r="B441" t="s">
        <v>897</v>
      </c>
      <c r="C441">
        <v>118</v>
      </c>
      <c r="D441" t="s">
        <v>28</v>
      </c>
      <c r="E441" s="1">
        <v>45569</v>
      </c>
      <c r="F441">
        <v>6.9</v>
      </c>
      <c r="G441">
        <v>14000</v>
      </c>
      <c r="H441">
        <v>6.8120000000000003</v>
      </c>
      <c r="I441">
        <v>325</v>
      </c>
      <c r="J441">
        <v>72</v>
      </c>
      <c r="K441">
        <v>82</v>
      </c>
    </row>
    <row r="442" spans="1:11" x14ac:dyDescent="0.3">
      <c r="A442" t="s">
        <v>898</v>
      </c>
      <c r="B442" t="s">
        <v>899</v>
      </c>
      <c r="C442">
        <v>126</v>
      </c>
      <c r="D442" t="s">
        <v>15</v>
      </c>
      <c r="E442" s="1">
        <v>45415</v>
      </c>
      <c r="F442">
        <v>6.8</v>
      </c>
      <c r="G442">
        <v>217000</v>
      </c>
      <c r="H442">
        <v>6.9569999999999999</v>
      </c>
      <c r="I442">
        <v>3641</v>
      </c>
      <c r="J442">
        <v>73</v>
      </c>
      <c r="K442">
        <v>82</v>
      </c>
    </row>
    <row r="443" spans="1:11" x14ac:dyDescent="0.3">
      <c r="A443" t="s">
        <v>900</v>
      </c>
      <c r="B443" t="s">
        <v>901</v>
      </c>
      <c r="C443">
        <v>112</v>
      </c>
      <c r="D443" t="s">
        <v>12</v>
      </c>
      <c r="E443" s="1">
        <v>45394</v>
      </c>
      <c r="F443">
        <v>6.7</v>
      </c>
      <c r="G443">
        <v>6900</v>
      </c>
      <c r="H443">
        <v>7.141</v>
      </c>
      <c r="I443">
        <v>85</v>
      </c>
      <c r="J443">
        <v>65</v>
      </c>
      <c r="K443">
        <v>82</v>
      </c>
    </row>
    <row r="444" spans="1:11" x14ac:dyDescent="0.3">
      <c r="A444" t="s">
        <v>902</v>
      </c>
      <c r="B444" t="s">
        <v>903</v>
      </c>
      <c r="C444">
        <v>112</v>
      </c>
      <c r="D444" t="s">
        <v>28</v>
      </c>
      <c r="E444" s="1">
        <v>45384</v>
      </c>
      <c r="F444">
        <v>7</v>
      </c>
      <c r="G444">
        <v>12000</v>
      </c>
      <c r="H444">
        <v>7.1</v>
      </c>
      <c r="I444">
        <v>226</v>
      </c>
      <c r="J444">
        <v>64</v>
      </c>
      <c r="K444">
        <v>82</v>
      </c>
    </row>
    <row r="445" spans="1:11" x14ac:dyDescent="0.3">
      <c r="A445" t="s">
        <v>904</v>
      </c>
      <c r="B445" t="s">
        <v>905</v>
      </c>
      <c r="C445">
        <v>94</v>
      </c>
      <c r="D445" t="s">
        <v>15</v>
      </c>
      <c r="E445" s="1">
        <v>45363</v>
      </c>
      <c r="F445">
        <v>6.6</v>
      </c>
      <c r="G445">
        <v>6400</v>
      </c>
      <c r="H445">
        <v>6.7990000000000004</v>
      </c>
      <c r="I445">
        <v>139</v>
      </c>
      <c r="J445">
        <v>68</v>
      </c>
      <c r="K445">
        <v>82</v>
      </c>
    </row>
    <row r="446" spans="1:11" x14ac:dyDescent="0.3">
      <c r="A446" t="s">
        <v>906</v>
      </c>
      <c r="B446" t="s">
        <v>907</v>
      </c>
      <c r="C446">
        <v>141</v>
      </c>
      <c r="D446" t="s">
        <v>15</v>
      </c>
      <c r="E446" s="1">
        <v>45310</v>
      </c>
      <c r="F446">
        <v>7.2</v>
      </c>
      <c r="G446">
        <v>7200</v>
      </c>
      <c r="H446">
        <v>6.4</v>
      </c>
      <c r="I446">
        <v>72</v>
      </c>
      <c r="J446">
        <v>75</v>
      </c>
      <c r="K446">
        <v>82</v>
      </c>
    </row>
    <row r="447" spans="1:11" x14ac:dyDescent="0.3">
      <c r="A447" t="s">
        <v>908</v>
      </c>
      <c r="B447" t="s">
        <v>909</v>
      </c>
      <c r="C447">
        <v>116</v>
      </c>
      <c r="D447" t="s">
        <v>12</v>
      </c>
      <c r="E447" s="1">
        <v>45275</v>
      </c>
      <c r="F447">
        <v>7</v>
      </c>
      <c r="G447">
        <v>175000</v>
      </c>
      <c r="H447">
        <v>7.0410000000000004</v>
      </c>
      <c r="I447">
        <v>4336</v>
      </c>
      <c r="J447">
        <v>66</v>
      </c>
      <c r="K447">
        <v>82</v>
      </c>
    </row>
    <row r="448" spans="1:11" x14ac:dyDescent="0.3">
      <c r="A448" t="s">
        <v>910</v>
      </c>
      <c r="B448" t="s">
        <v>911</v>
      </c>
      <c r="C448">
        <v>102</v>
      </c>
      <c r="D448" t="s">
        <v>12</v>
      </c>
      <c r="E448" s="1">
        <v>45251</v>
      </c>
      <c r="F448">
        <v>7</v>
      </c>
      <c r="G448">
        <v>42000</v>
      </c>
      <c r="H448">
        <v>7.3780000000000001</v>
      </c>
      <c r="I448">
        <v>1320</v>
      </c>
      <c r="J448">
        <v>65</v>
      </c>
      <c r="K448">
        <v>82</v>
      </c>
    </row>
    <row r="449" spans="1:11" x14ac:dyDescent="0.3">
      <c r="A449" t="s">
        <v>912</v>
      </c>
      <c r="B449" t="s">
        <v>913</v>
      </c>
      <c r="C449">
        <v>101</v>
      </c>
      <c r="D449" t="s">
        <v>160</v>
      </c>
      <c r="E449" s="1">
        <v>45101</v>
      </c>
      <c r="F449">
        <v>6.5</v>
      </c>
      <c r="G449">
        <v>3900</v>
      </c>
      <c r="H449">
        <v>6.3</v>
      </c>
      <c r="I449">
        <v>80</v>
      </c>
      <c r="J449">
        <v>80</v>
      </c>
      <c r="K449">
        <v>82</v>
      </c>
    </row>
    <row r="450" spans="1:11" x14ac:dyDescent="0.3">
      <c r="A450" t="s">
        <v>914</v>
      </c>
      <c r="B450" t="s">
        <v>915</v>
      </c>
      <c r="C450">
        <v>150</v>
      </c>
      <c r="D450" t="s">
        <v>15</v>
      </c>
      <c r="E450" s="1">
        <v>45051</v>
      </c>
      <c r="F450">
        <v>7.9</v>
      </c>
      <c r="G450">
        <v>422000</v>
      </c>
      <c r="H450">
        <v>7.9240000000000004</v>
      </c>
      <c r="I450">
        <v>8180</v>
      </c>
      <c r="J450">
        <v>64</v>
      </c>
      <c r="K450">
        <v>82</v>
      </c>
    </row>
    <row r="451" spans="1:11" x14ac:dyDescent="0.3">
      <c r="A451" t="s">
        <v>916</v>
      </c>
      <c r="B451" t="s">
        <v>917</v>
      </c>
      <c r="C451">
        <v>123</v>
      </c>
      <c r="D451" t="s">
        <v>28</v>
      </c>
      <c r="E451" s="1">
        <v>45037</v>
      </c>
      <c r="F451">
        <v>7.5</v>
      </c>
      <c r="G451">
        <v>187000</v>
      </c>
      <c r="H451">
        <v>7.7160000000000002</v>
      </c>
      <c r="I451">
        <v>3117</v>
      </c>
      <c r="J451">
        <v>63</v>
      </c>
      <c r="K451">
        <v>82</v>
      </c>
    </row>
    <row r="452" spans="1:11" x14ac:dyDescent="0.3">
      <c r="A452" t="s">
        <v>918</v>
      </c>
      <c r="B452" t="s">
        <v>919</v>
      </c>
      <c r="C452">
        <v>96</v>
      </c>
      <c r="D452" t="s">
        <v>28</v>
      </c>
      <c r="E452" s="1">
        <v>44971</v>
      </c>
      <c r="F452">
        <v>5.3</v>
      </c>
      <c r="G452">
        <v>3500</v>
      </c>
      <c r="H452">
        <v>5.6710000000000003</v>
      </c>
      <c r="I452">
        <v>70</v>
      </c>
      <c r="J452">
        <v>53</v>
      </c>
      <c r="K452">
        <v>82</v>
      </c>
    </row>
    <row r="453" spans="1:11" x14ac:dyDescent="0.3">
      <c r="A453" t="s">
        <v>920</v>
      </c>
      <c r="B453" t="s">
        <v>921</v>
      </c>
      <c r="C453">
        <v>146</v>
      </c>
      <c r="D453" t="s">
        <v>18</v>
      </c>
      <c r="E453" s="1">
        <v>44951</v>
      </c>
      <c r="F453">
        <v>5.8</v>
      </c>
      <c r="G453">
        <v>160000</v>
      </c>
      <c r="H453">
        <v>6.4</v>
      </c>
      <c r="I453">
        <v>249</v>
      </c>
      <c r="J453">
        <v>47</v>
      </c>
      <c r="K453">
        <v>82</v>
      </c>
    </row>
    <row r="454" spans="1:11" x14ac:dyDescent="0.3">
      <c r="A454" t="s">
        <v>922</v>
      </c>
      <c r="B454" t="s">
        <v>923</v>
      </c>
      <c r="C454">
        <v>131</v>
      </c>
      <c r="D454" t="s">
        <v>28</v>
      </c>
      <c r="E454" s="1">
        <v>44888</v>
      </c>
      <c r="F454">
        <v>6.8</v>
      </c>
      <c r="G454">
        <v>66000</v>
      </c>
      <c r="H454">
        <v>7.008</v>
      </c>
      <c r="I454">
        <v>1607</v>
      </c>
      <c r="J454">
        <v>74</v>
      </c>
      <c r="K454">
        <v>82</v>
      </c>
    </row>
    <row r="455" spans="1:11" x14ac:dyDescent="0.3">
      <c r="A455" t="s">
        <v>924</v>
      </c>
      <c r="B455" t="s">
        <v>925</v>
      </c>
      <c r="C455">
        <v>134</v>
      </c>
      <c r="D455" t="s">
        <v>15</v>
      </c>
      <c r="E455" s="1">
        <v>44888</v>
      </c>
      <c r="F455">
        <v>7.4</v>
      </c>
      <c r="G455">
        <v>38000</v>
      </c>
      <c r="H455">
        <v>7.4480000000000004</v>
      </c>
      <c r="I455">
        <v>632</v>
      </c>
      <c r="J455">
        <v>62</v>
      </c>
      <c r="K455">
        <v>82</v>
      </c>
    </row>
    <row r="456" spans="1:11" x14ac:dyDescent="0.3">
      <c r="A456" t="s">
        <v>926</v>
      </c>
      <c r="B456" t="s">
        <v>927</v>
      </c>
      <c r="C456">
        <v>121</v>
      </c>
      <c r="D456" t="s">
        <v>28</v>
      </c>
      <c r="E456" s="1">
        <v>44862</v>
      </c>
      <c r="F456">
        <v>6.5</v>
      </c>
      <c r="G456">
        <v>6800</v>
      </c>
      <c r="H456">
        <v>6.5069999999999997</v>
      </c>
      <c r="I456">
        <v>202</v>
      </c>
      <c r="J456">
        <v>62</v>
      </c>
      <c r="K456">
        <v>82</v>
      </c>
    </row>
    <row r="457" spans="1:11" x14ac:dyDescent="0.3">
      <c r="A457" t="s">
        <v>928</v>
      </c>
      <c r="B457" t="s">
        <v>929</v>
      </c>
      <c r="C457">
        <v>100</v>
      </c>
      <c r="D457" t="s">
        <v>28</v>
      </c>
      <c r="E457" s="1">
        <v>44831</v>
      </c>
      <c r="F457">
        <v>6.8</v>
      </c>
      <c r="G457">
        <v>5900</v>
      </c>
      <c r="H457">
        <v>6</v>
      </c>
      <c r="I457">
        <v>76</v>
      </c>
      <c r="J457">
        <v>79</v>
      </c>
      <c r="K457">
        <v>82</v>
      </c>
    </row>
    <row r="458" spans="1:11" x14ac:dyDescent="0.3">
      <c r="A458" t="s">
        <v>930</v>
      </c>
      <c r="B458" t="s">
        <v>931</v>
      </c>
      <c r="C458">
        <v>103</v>
      </c>
      <c r="D458" t="s">
        <v>28</v>
      </c>
      <c r="E458" s="1">
        <v>44778</v>
      </c>
      <c r="F458">
        <v>5.9</v>
      </c>
      <c r="G458">
        <v>13000</v>
      </c>
      <c r="H458">
        <v>5.9710000000000001</v>
      </c>
      <c r="I458">
        <v>243</v>
      </c>
      <c r="J458">
        <v>70</v>
      </c>
      <c r="K458">
        <v>82</v>
      </c>
    </row>
    <row r="459" spans="1:11" x14ac:dyDescent="0.3">
      <c r="A459" t="s">
        <v>932</v>
      </c>
      <c r="B459" t="s">
        <v>933</v>
      </c>
      <c r="C459">
        <v>107</v>
      </c>
      <c r="D459" t="s">
        <v>28</v>
      </c>
      <c r="E459" s="1">
        <v>44771</v>
      </c>
      <c r="F459">
        <v>6.8</v>
      </c>
      <c r="G459">
        <v>40000</v>
      </c>
      <c r="H459">
        <v>6.6</v>
      </c>
      <c r="I459">
        <v>451</v>
      </c>
      <c r="J459">
        <v>65</v>
      </c>
      <c r="K459">
        <v>82</v>
      </c>
    </row>
    <row r="460" spans="1:11" x14ac:dyDescent="0.3">
      <c r="A460" t="s">
        <v>934</v>
      </c>
      <c r="B460" t="s">
        <v>935</v>
      </c>
      <c r="C460">
        <v>114</v>
      </c>
      <c r="D460" t="s">
        <v>28</v>
      </c>
      <c r="E460" s="1">
        <v>44624</v>
      </c>
      <c r="F460">
        <v>6.7</v>
      </c>
      <c r="G460">
        <v>84000</v>
      </c>
      <c r="H460">
        <v>6.9640000000000004</v>
      </c>
      <c r="I460">
        <v>1852</v>
      </c>
      <c r="J460">
        <v>67</v>
      </c>
      <c r="K460">
        <v>82</v>
      </c>
    </row>
    <row r="461" spans="1:11" x14ac:dyDescent="0.3">
      <c r="A461" t="s">
        <v>936</v>
      </c>
      <c r="B461" t="s">
        <v>937</v>
      </c>
      <c r="C461">
        <v>110</v>
      </c>
      <c r="D461" t="s">
        <v>28</v>
      </c>
      <c r="E461" s="1">
        <v>45730</v>
      </c>
      <c r="F461">
        <v>6.8</v>
      </c>
      <c r="G461">
        <v>9500</v>
      </c>
      <c r="H461">
        <v>6.7960000000000003</v>
      </c>
      <c r="I461">
        <v>1532</v>
      </c>
      <c r="J461">
        <v>60</v>
      </c>
      <c r="K461">
        <v>81</v>
      </c>
    </row>
    <row r="462" spans="1:11" x14ac:dyDescent="0.3">
      <c r="A462" t="s">
        <v>938</v>
      </c>
      <c r="B462" t="s">
        <v>939</v>
      </c>
      <c r="C462">
        <v>120</v>
      </c>
      <c r="D462" t="s">
        <v>12</v>
      </c>
      <c r="E462" s="1">
        <v>45723</v>
      </c>
      <c r="F462">
        <v>7.4</v>
      </c>
      <c r="G462">
        <v>617</v>
      </c>
      <c r="H462">
        <v>7.6</v>
      </c>
      <c r="I462">
        <v>23</v>
      </c>
      <c r="J462">
        <v>55</v>
      </c>
      <c r="K462">
        <v>81</v>
      </c>
    </row>
    <row r="463" spans="1:11" x14ac:dyDescent="0.3">
      <c r="A463" t="s">
        <v>940</v>
      </c>
      <c r="B463" t="s">
        <v>941</v>
      </c>
      <c r="C463">
        <v>120</v>
      </c>
      <c r="D463" t="s">
        <v>15</v>
      </c>
      <c r="E463" s="1">
        <v>45597</v>
      </c>
      <c r="F463">
        <v>6.2</v>
      </c>
      <c r="G463">
        <v>16000</v>
      </c>
      <c r="H463">
        <v>5.9770000000000003</v>
      </c>
      <c r="I463">
        <v>243</v>
      </c>
      <c r="J463">
        <v>71</v>
      </c>
      <c r="K463">
        <v>81</v>
      </c>
    </row>
    <row r="464" spans="1:11" x14ac:dyDescent="0.3">
      <c r="A464" t="s">
        <v>942</v>
      </c>
      <c r="B464" t="s">
        <v>943</v>
      </c>
      <c r="C464">
        <v>90</v>
      </c>
      <c r="D464" t="s">
        <v>28</v>
      </c>
      <c r="E464" s="1">
        <v>45590</v>
      </c>
      <c r="F464">
        <v>6.1</v>
      </c>
      <c r="G464">
        <v>2500</v>
      </c>
      <c r="H464">
        <v>6.4580000000000002</v>
      </c>
      <c r="I464">
        <v>59</v>
      </c>
      <c r="J464">
        <v>69</v>
      </c>
      <c r="K464">
        <v>81</v>
      </c>
    </row>
    <row r="465" spans="1:11" x14ac:dyDescent="0.3">
      <c r="A465" t="s">
        <v>944</v>
      </c>
      <c r="B465" t="s">
        <v>945</v>
      </c>
      <c r="C465">
        <v>86</v>
      </c>
      <c r="D465" t="s">
        <v>28</v>
      </c>
      <c r="E465" s="1">
        <v>45449</v>
      </c>
      <c r="F465">
        <v>6.1</v>
      </c>
      <c r="G465">
        <v>11000</v>
      </c>
      <c r="H465">
        <v>6.3360000000000003</v>
      </c>
      <c r="I465">
        <v>327</v>
      </c>
      <c r="J465">
        <v>72</v>
      </c>
      <c r="K465">
        <v>81</v>
      </c>
    </row>
    <row r="466" spans="1:11" x14ac:dyDescent="0.3">
      <c r="A466" t="s">
        <v>946</v>
      </c>
      <c r="B466" t="s">
        <v>947</v>
      </c>
      <c r="C466">
        <v>81</v>
      </c>
      <c r="D466" t="s">
        <v>862</v>
      </c>
      <c r="E466" s="1">
        <v>45420</v>
      </c>
      <c r="F466">
        <v>7.6</v>
      </c>
      <c r="G466">
        <v>8200</v>
      </c>
      <c r="H466">
        <v>7.5419999999999998</v>
      </c>
      <c r="I466">
        <v>166</v>
      </c>
      <c r="J466">
        <v>72</v>
      </c>
      <c r="K466">
        <v>81</v>
      </c>
    </row>
    <row r="467" spans="1:11" x14ac:dyDescent="0.3">
      <c r="A467" t="s">
        <v>948</v>
      </c>
      <c r="B467" t="s">
        <v>949</v>
      </c>
      <c r="C467">
        <v>109</v>
      </c>
      <c r="D467" t="s">
        <v>28</v>
      </c>
      <c r="E467" s="1">
        <v>45394</v>
      </c>
      <c r="F467">
        <v>7</v>
      </c>
      <c r="G467">
        <v>233000</v>
      </c>
      <c r="H467">
        <v>6.9</v>
      </c>
      <c r="I467">
        <v>4241</v>
      </c>
      <c r="J467">
        <v>75</v>
      </c>
      <c r="K467">
        <v>81</v>
      </c>
    </row>
    <row r="468" spans="1:11" x14ac:dyDescent="0.3">
      <c r="A468" t="s">
        <v>950</v>
      </c>
      <c r="B468" t="s">
        <v>951</v>
      </c>
      <c r="C468">
        <v>141</v>
      </c>
      <c r="D468" t="s">
        <v>15</v>
      </c>
      <c r="E468" s="1">
        <v>45285</v>
      </c>
      <c r="F468">
        <v>6.8</v>
      </c>
      <c r="G468">
        <v>19000</v>
      </c>
      <c r="H468">
        <v>7.0069999999999997</v>
      </c>
      <c r="I468">
        <v>350</v>
      </c>
      <c r="J468">
        <v>72</v>
      </c>
      <c r="K468">
        <v>81</v>
      </c>
    </row>
    <row r="469" spans="1:11" x14ac:dyDescent="0.3">
      <c r="A469" t="s">
        <v>952</v>
      </c>
      <c r="B469" t="s">
        <v>953</v>
      </c>
      <c r="C469">
        <v>97</v>
      </c>
      <c r="D469" t="s">
        <v>28</v>
      </c>
      <c r="E469" s="1">
        <v>45268</v>
      </c>
      <c r="F469">
        <v>5.9</v>
      </c>
      <c r="G469">
        <v>17000</v>
      </c>
      <c r="H469">
        <v>5.8</v>
      </c>
      <c r="I469">
        <v>375</v>
      </c>
      <c r="J469">
        <v>72</v>
      </c>
      <c r="K469">
        <v>81</v>
      </c>
    </row>
    <row r="470" spans="1:11" x14ac:dyDescent="0.3">
      <c r="A470" t="s">
        <v>954</v>
      </c>
      <c r="B470" t="s">
        <v>955</v>
      </c>
      <c r="C470">
        <v>118</v>
      </c>
      <c r="D470" t="s">
        <v>28</v>
      </c>
      <c r="E470" s="1">
        <v>45198</v>
      </c>
      <c r="F470">
        <v>6.6</v>
      </c>
      <c r="G470">
        <v>88000</v>
      </c>
      <c r="H470">
        <v>7.2</v>
      </c>
      <c r="I470">
        <v>2330</v>
      </c>
      <c r="J470">
        <v>60</v>
      </c>
      <c r="K470">
        <v>81</v>
      </c>
    </row>
    <row r="471" spans="1:11" x14ac:dyDescent="0.3">
      <c r="A471" t="s">
        <v>956</v>
      </c>
      <c r="B471" t="s">
        <v>957</v>
      </c>
      <c r="C471">
        <v>99</v>
      </c>
      <c r="D471" t="s">
        <v>28</v>
      </c>
      <c r="E471" s="1">
        <v>45105</v>
      </c>
      <c r="F471">
        <v>6.3</v>
      </c>
      <c r="G471">
        <v>3000</v>
      </c>
      <c r="H471">
        <v>6.6909999999999998</v>
      </c>
      <c r="I471">
        <v>215</v>
      </c>
      <c r="J471">
        <v>55</v>
      </c>
      <c r="K471">
        <v>81</v>
      </c>
    </row>
    <row r="472" spans="1:11" x14ac:dyDescent="0.3">
      <c r="A472" t="s">
        <v>958</v>
      </c>
      <c r="B472" t="s">
        <v>959</v>
      </c>
      <c r="C472">
        <v>118</v>
      </c>
      <c r="D472" t="s">
        <v>28</v>
      </c>
      <c r="E472" s="1">
        <v>45016</v>
      </c>
      <c r="F472">
        <v>7.4</v>
      </c>
      <c r="G472">
        <v>95000</v>
      </c>
      <c r="H472">
        <v>7.6340000000000003</v>
      </c>
      <c r="I472">
        <v>1713</v>
      </c>
      <c r="J472">
        <v>61</v>
      </c>
      <c r="K472">
        <v>81</v>
      </c>
    </row>
    <row r="473" spans="1:11" x14ac:dyDescent="0.3">
      <c r="A473" t="s">
        <v>960</v>
      </c>
      <c r="B473" t="s">
        <v>961</v>
      </c>
      <c r="C473">
        <v>139</v>
      </c>
      <c r="D473" t="s">
        <v>15</v>
      </c>
      <c r="E473" s="1">
        <v>44888</v>
      </c>
      <c r="F473">
        <v>6.6</v>
      </c>
      <c r="G473">
        <v>30000</v>
      </c>
      <c r="H473">
        <v>7.1</v>
      </c>
      <c r="I473">
        <v>811</v>
      </c>
      <c r="J473">
        <v>66</v>
      </c>
      <c r="K473">
        <v>81</v>
      </c>
    </row>
    <row r="474" spans="1:11" x14ac:dyDescent="0.3">
      <c r="A474" t="s">
        <v>962</v>
      </c>
      <c r="B474" t="s">
        <v>963</v>
      </c>
      <c r="C474">
        <v>103</v>
      </c>
      <c r="D474" t="s">
        <v>15</v>
      </c>
      <c r="E474" s="1">
        <v>44799</v>
      </c>
      <c r="F474">
        <v>6.3</v>
      </c>
      <c r="G474">
        <v>9800</v>
      </c>
      <c r="H474">
        <v>6.4909999999999997</v>
      </c>
      <c r="I474">
        <v>216</v>
      </c>
      <c r="J474">
        <v>66</v>
      </c>
      <c r="K474">
        <v>81</v>
      </c>
    </row>
    <row r="475" spans="1:11" x14ac:dyDescent="0.3">
      <c r="A475" t="s">
        <v>964</v>
      </c>
      <c r="B475" t="s">
        <v>965</v>
      </c>
      <c r="C475">
        <v>103</v>
      </c>
      <c r="D475" t="s">
        <v>28</v>
      </c>
      <c r="E475" s="1">
        <v>44736</v>
      </c>
      <c r="F475">
        <v>6.9</v>
      </c>
      <c r="G475">
        <v>224000</v>
      </c>
      <c r="H475">
        <v>7.5279999999999996</v>
      </c>
      <c r="I475">
        <v>5758</v>
      </c>
      <c r="J475">
        <v>65</v>
      </c>
      <c r="K475">
        <v>81</v>
      </c>
    </row>
    <row r="476" spans="1:11" x14ac:dyDescent="0.3">
      <c r="A476" t="s">
        <v>966</v>
      </c>
      <c r="B476" t="s">
        <v>967</v>
      </c>
      <c r="C476">
        <v>110</v>
      </c>
      <c r="D476" t="s">
        <v>28</v>
      </c>
      <c r="E476" s="1">
        <v>45814</v>
      </c>
      <c r="F476">
        <v>7.7</v>
      </c>
      <c r="G476">
        <v>466</v>
      </c>
      <c r="H476">
        <v>7.2779999999999996</v>
      </c>
      <c r="I476">
        <v>998</v>
      </c>
      <c r="J476">
        <v>64</v>
      </c>
      <c r="K476">
        <v>80</v>
      </c>
    </row>
    <row r="477" spans="1:11" x14ac:dyDescent="0.3">
      <c r="A477" t="s">
        <v>968</v>
      </c>
      <c r="B477" t="s">
        <v>969</v>
      </c>
      <c r="C477">
        <v>123</v>
      </c>
      <c r="D477" t="s">
        <v>28</v>
      </c>
      <c r="E477" s="1">
        <v>45737</v>
      </c>
      <c r="F477">
        <v>7</v>
      </c>
      <c r="G477">
        <v>966</v>
      </c>
      <c r="H477">
        <v>6.8</v>
      </c>
      <c r="I477">
        <v>82</v>
      </c>
      <c r="J477">
        <v>69</v>
      </c>
      <c r="K477">
        <v>80</v>
      </c>
    </row>
    <row r="478" spans="1:11" x14ac:dyDescent="0.3">
      <c r="A478" t="s">
        <v>970</v>
      </c>
      <c r="B478" t="s">
        <v>971</v>
      </c>
      <c r="C478">
        <v>90</v>
      </c>
      <c r="D478" t="s">
        <v>28</v>
      </c>
      <c r="E478" s="1">
        <v>45612</v>
      </c>
      <c r="F478">
        <v>6.3</v>
      </c>
      <c r="G478">
        <v>3800</v>
      </c>
      <c r="H478">
        <v>6.7</v>
      </c>
      <c r="I478">
        <v>99</v>
      </c>
      <c r="J478">
        <v>65</v>
      </c>
      <c r="K478">
        <v>80</v>
      </c>
    </row>
    <row r="479" spans="1:11" x14ac:dyDescent="0.3">
      <c r="A479" t="s">
        <v>972</v>
      </c>
      <c r="B479" t="s">
        <v>973</v>
      </c>
      <c r="C479">
        <v>106</v>
      </c>
      <c r="D479" t="s">
        <v>15</v>
      </c>
      <c r="E479" s="1">
        <v>45604</v>
      </c>
      <c r="F479">
        <v>5.6</v>
      </c>
      <c r="G479">
        <v>2300</v>
      </c>
      <c r="H479">
        <v>5.0999999999999996</v>
      </c>
      <c r="I479">
        <v>30</v>
      </c>
      <c r="J479">
        <v>72</v>
      </c>
      <c r="K479">
        <v>80</v>
      </c>
    </row>
    <row r="480" spans="1:11" x14ac:dyDescent="0.3">
      <c r="A480" t="s">
        <v>974</v>
      </c>
      <c r="B480" t="s">
        <v>975</v>
      </c>
      <c r="C480">
        <v>107</v>
      </c>
      <c r="D480" t="s">
        <v>15</v>
      </c>
      <c r="E480" s="1">
        <v>45583</v>
      </c>
      <c r="F480">
        <v>6.8</v>
      </c>
      <c r="G480">
        <v>18000</v>
      </c>
      <c r="H480">
        <v>6.7480000000000002</v>
      </c>
      <c r="I480">
        <v>672</v>
      </c>
      <c r="J480">
        <v>70</v>
      </c>
      <c r="K480">
        <v>80</v>
      </c>
    </row>
    <row r="481" spans="1:11" x14ac:dyDescent="0.3">
      <c r="A481" t="s">
        <v>976</v>
      </c>
      <c r="B481" t="s">
        <v>977</v>
      </c>
      <c r="C481">
        <v>108</v>
      </c>
      <c r="D481" t="s">
        <v>28</v>
      </c>
      <c r="E481" s="1">
        <v>45541</v>
      </c>
      <c r="F481">
        <v>5.8</v>
      </c>
      <c r="G481">
        <v>2900</v>
      </c>
      <c r="H481">
        <v>6.4059999999999997</v>
      </c>
      <c r="I481">
        <v>159</v>
      </c>
      <c r="J481">
        <v>55</v>
      </c>
      <c r="K481">
        <v>80</v>
      </c>
    </row>
    <row r="482" spans="1:11" x14ac:dyDescent="0.3">
      <c r="A482" t="s">
        <v>978</v>
      </c>
      <c r="B482" t="s">
        <v>979</v>
      </c>
      <c r="C482">
        <v>119</v>
      </c>
      <c r="D482" t="s">
        <v>28</v>
      </c>
      <c r="E482" s="1">
        <v>45520</v>
      </c>
      <c r="F482">
        <v>7.1</v>
      </c>
      <c r="G482">
        <v>239000</v>
      </c>
      <c r="H482">
        <v>7.2</v>
      </c>
      <c r="I482">
        <v>4441</v>
      </c>
      <c r="J482">
        <v>64</v>
      </c>
      <c r="K482">
        <v>80</v>
      </c>
    </row>
    <row r="483" spans="1:11" x14ac:dyDescent="0.3">
      <c r="A483" t="s">
        <v>980</v>
      </c>
      <c r="B483" t="s">
        <v>981</v>
      </c>
      <c r="C483">
        <v>145</v>
      </c>
      <c r="D483" t="s">
        <v>15</v>
      </c>
      <c r="E483" s="1">
        <v>45422</v>
      </c>
      <c r="F483">
        <v>6.9</v>
      </c>
      <c r="G483">
        <v>150000</v>
      </c>
      <c r="H483">
        <v>7.1</v>
      </c>
      <c r="I483">
        <v>4194</v>
      </c>
      <c r="J483">
        <v>66</v>
      </c>
      <c r="K483">
        <v>80</v>
      </c>
    </row>
    <row r="484" spans="1:11" x14ac:dyDescent="0.3">
      <c r="A484" t="s">
        <v>982</v>
      </c>
      <c r="B484" t="s">
        <v>983</v>
      </c>
      <c r="C484">
        <v>115</v>
      </c>
      <c r="D484" t="s">
        <v>28</v>
      </c>
      <c r="E484" s="1">
        <v>45414</v>
      </c>
      <c r="F484">
        <v>6.3</v>
      </c>
      <c r="G484">
        <v>72000</v>
      </c>
      <c r="H484">
        <v>7.3</v>
      </c>
      <c r="I484">
        <v>1901</v>
      </c>
      <c r="J484">
        <v>67</v>
      </c>
      <c r="K484">
        <v>80</v>
      </c>
    </row>
    <row r="485" spans="1:11" x14ac:dyDescent="0.3">
      <c r="A485" t="s">
        <v>984</v>
      </c>
      <c r="B485" t="s">
        <v>985</v>
      </c>
      <c r="C485">
        <v>100</v>
      </c>
      <c r="D485" t="s">
        <v>28</v>
      </c>
      <c r="E485" s="1">
        <v>45387</v>
      </c>
      <c r="F485">
        <v>7</v>
      </c>
      <c r="G485">
        <v>37000</v>
      </c>
      <c r="H485">
        <v>6.9340000000000002</v>
      </c>
      <c r="I485">
        <v>654</v>
      </c>
      <c r="J485">
        <v>58</v>
      </c>
      <c r="K485">
        <v>80</v>
      </c>
    </row>
    <row r="486" spans="1:11" x14ac:dyDescent="0.3">
      <c r="A486" t="s">
        <v>986</v>
      </c>
      <c r="B486" t="s">
        <v>987</v>
      </c>
      <c r="C486">
        <v>122</v>
      </c>
      <c r="D486" t="s">
        <v>28</v>
      </c>
      <c r="E486" s="1">
        <v>45093</v>
      </c>
      <c r="F486">
        <v>7</v>
      </c>
      <c r="G486">
        <v>162000</v>
      </c>
      <c r="H486">
        <v>7.3860000000000001</v>
      </c>
      <c r="I486">
        <v>2849</v>
      </c>
      <c r="J486">
        <v>57</v>
      </c>
      <c r="K486">
        <v>80</v>
      </c>
    </row>
    <row r="487" spans="1:11" x14ac:dyDescent="0.3">
      <c r="A487" t="s">
        <v>988</v>
      </c>
      <c r="B487" t="s">
        <v>989</v>
      </c>
      <c r="C487">
        <v>115</v>
      </c>
      <c r="D487" t="s">
        <v>28</v>
      </c>
      <c r="E487" s="1">
        <v>44834</v>
      </c>
      <c r="F487">
        <v>6.5</v>
      </c>
      <c r="G487">
        <v>212000</v>
      </c>
      <c r="H487">
        <v>6.6630000000000003</v>
      </c>
      <c r="I487">
        <v>3990</v>
      </c>
      <c r="J487">
        <v>68</v>
      </c>
      <c r="K487">
        <v>80</v>
      </c>
    </row>
    <row r="488" spans="1:11" x14ac:dyDescent="0.3">
      <c r="A488" t="s">
        <v>990</v>
      </c>
      <c r="B488" t="s">
        <v>991</v>
      </c>
      <c r="C488">
        <v>117</v>
      </c>
      <c r="D488" t="s">
        <v>15</v>
      </c>
      <c r="E488" s="1">
        <v>44728</v>
      </c>
      <c r="F488">
        <v>5.9</v>
      </c>
      <c r="G488">
        <v>14000</v>
      </c>
      <c r="H488">
        <v>6.4</v>
      </c>
      <c r="I488">
        <v>199</v>
      </c>
      <c r="J488">
        <v>65</v>
      </c>
      <c r="K488">
        <v>80</v>
      </c>
    </row>
    <row r="489" spans="1:11" x14ac:dyDescent="0.3">
      <c r="A489" t="s">
        <v>992</v>
      </c>
      <c r="B489" t="s">
        <v>993</v>
      </c>
      <c r="C489">
        <v>107</v>
      </c>
      <c r="D489" t="s">
        <v>28</v>
      </c>
      <c r="E489" s="1">
        <v>44706</v>
      </c>
      <c r="F489">
        <v>5.8</v>
      </c>
      <c r="G489">
        <v>44000</v>
      </c>
      <c r="H489">
        <v>6</v>
      </c>
      <c r="I489">
        <v>1257</v>
      </c>
      <c r="J489">
        <v>68</v>
      </c>
      <c r="K489">
        <v>80</v>
      </c>
    </row>
    <row r="490" spans="1:11" x14ac:dyDescent="0.3">
      <c r="A490" t="s">
        <v>994</v>
      </c>
      <c r="B490" t="s">
        <v>995</v>
      </c>
      <c r="C490">
        <v>103</v>
      </c>
      <c r="D490" t="s">
        <v>28</v>
      </c>
      <c r="E490" s="1">
        <v>45590</v>
      </c>
      <c r="F490">
        <v>6.4</v>
      </c>
      <c r="G490">
        <v>5500</v>
      </c>
      <c r="H490">
        <v>6.5149999999999997</v>
      </c>
      <c r="I490">
        <v>103</v>
      </c>
      <c r="J490">
        <v>62</v>
      </c>
      <c r="K490">
        <v>79</v>
      </c>
    </row>
    <row r="491" spans="1:11" x14ac:dyDescent="0.3">
      <c r="A491" t="s">
        <v>996</v>
      </c>
      <c r="B491" t="s">
        <v>997</v>
      </c>
      <c r="C491">
        <v>108</v>
      </c>
      <c r="D491" t="s">
        <v>28</v>
      </c>
      <c r="E491" s="1">
        <v>45583</v>
      </c>
      <c r="F491">
        <v>7</v>
      </c>
      <c r="G491">
        <v>49000</v>
      </c>
      <c r="H491">
        <v>7.226</v>
      </c>
      <c r="I491">
        <v>1244</v>
      </c>
      <c r="J491">
        <v>59</v>
      </c>
      <c r="K491">
        <v>79</v>
      </c>
    </row>
    <row r="492" spans="1:11" x14ac:dyDescent="0.3">
      <c r="A492" t="s">
        <v>998</v>
      </c>
      <c r="B492" t="s">
        <v>999</v>
      </c>
      <c r="C492">
        <v>102</v>
      </c>
      <c r="D492" t="s">
        <v>28</v>
      </c>
      <c r="E492" s="1">
        <v>45513</v>
      </c>
      <c r="F492">
        <v>5.7</v>
      </c>
      <c r="G492">
        <v>25000</v>
      </c>
      <c r="H492">
        <v>5.7</v>
      </c>
      <c r="I492">
        <v>481</v>
      </c>
      <c r="J492">
        <v>62</v>
      </c>
      <c r="K492">
        <v>79</v>
      </c>
    </row>
    <row r="493" spans="1:11" x14ac:dyDescent="0.3">
      <c r="A493" t="s">
        <v>1000</v>
      </c>
      <c r="B493" t="s">
        <v>1001</v>
      </c>
      <c r="C493">
        <v>94</v>
      </c>
      <c r="D493" t="s">
        <v>18</v>
      </c>
      <c r="E493" s="1">
        <v>45471</v>
      </c>
      <c r="F493">
        <v>5.6</v>
      </c>
      <c r="G493">
        <v>25000</v>
      </c>
      <c r="H493">
        <v>5.6</v>
      </c>
      <c r="I493">
        <v>522</v>
      </c>
      <c r="J493">
        <v>68</v>
      </c>
      <c r="K493">
        <v>79</v>
      </c>
    </row>
    <row r="494" spans="1:11" x14ac:dyDescent="0.3">
      <c r="A494" t="s">
        <v>1002</v>
      </c>
      <c r="B494" t="s">
        <v>1003</v>
      </c>
      <c r="C494">
        <v>116</v>
      </c>
      <c r="D494" t="s">
        <v>28</v>
      </c>
      <c r="E494" s="1">
        <v>45464</v>
      </c>
      <c r="F494">
        <v>6.6</v>
      </c>
      <c r="G494">
        <v>66000</v>
      </c>
      <c r="H494">
        <v>6.6740000000000004</v>
      </c>
      <c r="I494">
        <v>1112</v>
      </c>
      <c r="J494">
        <v>70</v>
      </c>
      <c r="K494">
        <v>79</v>
      </c>
    </row>
    <row r="495" spans="1:11" x14ac:dyDescent="0.3">
      <c r="A495" t="s">
        <v>1004</v>
      </c>
      <c r="B495" t="s">
        <v>1005</v>
      </c>
      <c r="C495">
        <v>115</v>
      </c>
      <c r="D495" t="s">
        <v>15</v>
      </c>
      <c r="E495" s="1">
        <v>45399</v>
      </c>
      <c r="F495">
        <v>6.5</v>
      </c>
      <c r="G495">
        <v>1800</v>
      </c>
      <c r="H495">
        <v>7.2</v>
      </c>
      <c r="I495">
        <v>50</v>
      </c>
      <c r="J495">
        <v>58</v>
      </c>
      <c r="K495">
        <v>79</v>
      </c>
    </row>
    <row r="496" spans="1:11" x14ac:dyDescent="0.3">
      <c r="A496" t="s">
        <v>1006</v>
      </c>
      <c r="B496" t="s">
        <v>1007</v>
      </c>
      <c r="C496">
        <v>104</v>
      </c>
      <c r="D496" t="s">
        <v>15</v>
      </c>
      <c r="E496" s="1">
        <v>45205</v>
      </c>
      <c r="F496">
        <v>6.6</v>
      </c>
      <c r="G496">
        <v>852</v>
      </c>
      <c r="H496">
        <v>6.4</v>
      </c>
      <c r="I496">
        <v>37</v>
      </c>
      <c r="J496">
        <v>74</v>
      </c>
      <c r="K496">
        <v>79</v>
      </c>
    </row>
    <row r="497" spans="1:11" x14ac:dyDescent="0.3">
      <c r="A497" t="s">
        <v>1008</v>
      </c>
      <c r="B497" t="s">
        <v>1009</v>
      </c>
      <c r="C497">
        <v>102</v>
      </c>
      <c r="D497" t="s">
        <v>28</v>
      </c>
      <c r="E497" s="1">
        <v>44826</v>
      </c>
      <c r="F497">
        <v>6.5</v>
      </c>
      <c r="G497">
        <v>20000</v>
      </c>
      <c r="H497">
        <v>6.2779999999999996</v>
      </c>
      <c r="I497">
        <v>449</v>
      </c>
      <c r="J497">
        <v>71</v>
      </c>
      <c r="K497">
        <v>79</v>
      </c>
    </row>
    <row r="498" spans="1:11" x14ac:dyDescent="0.3">
      <c r="A498" t="s">
        <v>1010</v>
      </c>
      <c r="B498" t="s">
        <v>1011</v>
      </c>
      <c r="C498">
        <v>107</v>
      </c>
      <c r="D498" t="s">
        <v>15</v>
      </c>
      <c r="E498" s="1">
        <v>44785</v>
      </c>
      <c r="F498">
        <v>6.4</v>
      </c>
      <c r="G498">
        <v>120000</v>
      </c>
      <c r="H498">
        <v>7.1059999999999999</v>
      </c>
      <c r="I498">
        <v>4457</v>
      </c>
      <c r="J498">
        <v>62</v>
      </c>
      <c r="K498">
        <v>79</v>
      </c>
    </row>
    <row r="499" spans="1:11" x14ac:dyDescent="0.3">
      <c r="A499" t="s">
        <v>1012</v>
      </c>
      <c r="B499" t="s">
        <v>1013</v>
      </c>
      <c r="C499">
        <v>137</v>
      </c>
      <c r="D499" t="s">
        <v>28</v>
      </c>
      <c r="E499" s="1">
        <v>45723</v>
      </c>
      <c r="F499">
        <v>7</v>
      </c>
      <c r="G499">
        <v>60000</v>
      </c>
      <c r="H499">
        <v>6.8289999999999997</v>
      </c>
      <c r="I499">
        <v>3434</v>
      </c>
      <c r="J499">
        <v>72</v>
      </c>
      <c r="K499">
        <v>78</v>
      </c>
    </row>
    <row r="500" spans="1:11" x14ac:dyDescent="0.3">
      <c r="A500" t="s">
        <v>1014</v>
      </c>
      <c r="B500" t="s">
        <v>1015</v>
      </c>
      <c r="C500">
        <v>97</v>
      </c>
      <c r="D500" t="s">
        <v>28</v>
      </c>
      <c r="E500" s="1">
        <v>45695</v>
      </c>
      <c r="F500">
        <v>6.1</v>
      </c>
      <c r="G500">
        <v>14000</v>
      </c>
      <c r="H500">
        <v>6.2809999999999997</v>
      </c>
      <c r="I500">
        <v>496</v>
      </c>
      <c r="J500">
        <v>61</v>
      </c>
      <c r="K500">
        <v>78</v>
      </c>
    </row>
    <row r="501" spans="1:11" x14ac:dyDescent="0.3">
      <c r="A501" t="s">
        <v>1016</v>
      </c>
      <c r="B501" t="s">
        <v>1017</v>
      </c>
      <c r="C501">
        <v>116</v>
      </c>
      <c r="D501" t="s">
        <v>28</v>
      </c>
      <c r="E501" s="1">
        <v>45632</v>
      </c>
      <c r="F501">
        <v>6.2</v>
      </c>
      <c r="G501">
        <v>7600</v>
      </c>
      <c r="H501">
        <v>6.4950000000000001</v>
      </c>
      <c r="I501">
        <v>415</v>
      </c>
      <c r="J501">
        <v>67</v>
      </c>
      <c r="K501">
        <v>78</v>
      </c>
    </row>
    <row r="502" spans="1:11" x14ac:dyDescent="0.3">
      <c r="A502" t="s">
        <v>1018</v>
      </c>
      <c r="B502" t="s">
        <v>1019</v>
      </c>
      <c r="C502">
        <v>125</v>
      </c>
      <c r="D502" t="s">
        <v>18</v>
      </c>
      <c r="E502" s="1">
        <v>45576</v>
      </c>
      <c r="F502">
        <v>6.3</v>
      </c>
      <c r="G502">
        <v>47000</v>
      </c>
      <c r="H502">
        <v>6.7880000000000003</v>
      </c>
      <c r="I502">
        <v>1916</v>
      </c>
      <c r="J502">
        <v>62</v>
      </c>
      <c r="K502">
        <v>78</v>
      </c>
    </row>
    <row r="503" spans="1:11" x14ac:dyDescent="0.3">
      <c r="A503" t="s">
        <v>1020</v>
      </c>
      <c r="B503" t="s">
        <v>1021</v>
      </c>
      <c r="C503">
        <v>128</v>
      </c>
      <c r="D503" t="s">
        <v>28</v>
      </c>
      <c r="E503" s="1">
        <v>45499</v>
      </c>
      <c r="F503">
        <v>7.6</v>
      </c>
      <c r="G503">
        <v>482000</v>
      </c>
      <c r="H503">
        <v>7.5570000000000004</v>
      </c>
      <c r="I503">
        <v>8466</v>
      </c>
      <c r="J503">
        <v>56</v>
      </c>
      <c r="K503">
        <v>78</v>
      </c>
    </row>
    <row r="504" spans="1:11" x14ac:dyDescent="0.3">
      <c r="A504" t="s">
        <v>1022</v>
      </c>
      <c r="B504" t="s">
        <v>1023</v>
      </c>
      <c r="C504">
        <v>107</v>
      </c>
      <c r="D504" t="s">
        <v>28</v>
      </c>
      <c r="E504" s="1">
        <v>45317</v>
      </c>
      <c r="F504">
        <v>5.5</v>
      </c>
      <c r="G504">
        <v>2400</v>
      </c>
      <c r="H504">
        <v>5.7</v>
      </c>
      <c r="I504">
        <v>57</v>
      </c>
      <c r="J504">
        <v>66</v>
      </c>
      <c r="K504">
        <v>78</v>
      </c>
    </row>
    <row r="505" spans="1:11" x14ac:dyDescent="0.3">
      <c r="A505" t="s">
        <v>1024</v>
      </c>
      <c r="B505" t="s">
        <v>1025</v>
      </c>
      <c r="C505">
        <v>127</v>
      </c>
      <c r="D505" t="s">
        <v>15</v>
      </c>
      <c r="E505" s="1">
        <v>45156</v>
      </c>
      <c r="F505">
        <v>5.9</v>
      </c>
      <c r="G505">
        <v>107000</v>
      </c>
      <c r="H505">
        <v>6.6360000000000001</v>
      </c>
      <c r="I505">
        <v>3057</v>
      </c>
      <c r="J505">
        <v>61</v>
      </c>
      <c r="K505">
        <v>78</v>
      </c>
    </row>
    <row r="506" spans="1:11" x14ac:dyDescent="0.3">
      <c r="A506" t="s">
        <v>1026</v>
      </c>
      <c r="B506" t="s">
        <v>1027</v>
      </c>
      <c r="C506">
        <v>107</v>
      </c>
      <c r="D506" t="s">
        <v>28</v>
      </c>
      <c r="E506" s="1">
        <v>44953</v>
      </c>
      <c r="F506">
        <v>6.5</v>
      </c>
      <c r="G506">
        <v>91000</v>
      </c>
      <c r="H506">
        <v>6.8979999999999997</v>
      </c>
      <c r="I506">
        <v>2626</v>
      </c>
      <c r="J506">
        <v>62</v>
      </c>
      <c r="K506">
        <v>78</v>
      </c>
    </row>
    <row r="507" spans="1:11" x14ac:dyDescent="0.3">
      <c r="A507" t="s">
        <v>1028</v>
      </c>
      <c r="B507" t="s">
        <v>1029</v>
      </c>
      <c r="C507">
        <v>86</v>
      </c>
      <c r="D507" t="s">
        <v>18</v>
      </c>
      <c r="E507" s="1">
        <v>44904</v>
      </c>
      <c r="F507">
        <v>5.0999999999999996</v>
      </c>
      <c r="G507">
        <v>6400</v>
      </c>
      <c r="H507">
        <v>5.3739999999999997</v>
      </c>
      <c r="I507">
        <v>235</v>
      </c>
      <c r="J507">
        <v>46</v>
      </c>
      <c r="K507">
        <v>78</v>
      </c>
    </row>
    <row r="508" spans="1:11" x14ac:dyDescent="0.3">
      <c r="A508" t="s">
        <v>1030</v>
      </c>
      <c r="B508" t="s">
        <v>1031</v>
      </c>
      <c r="C508">
        <v>87</v>
      </c>
      <c r="D508" t="s">
        <v>15</v>
      </c>
      <c r="E508" s="1">
        <v>44683</v>
      </c>
      <c r="F508">
        <v>6.9</v>
      </c>
      <c r="G508">
        <v>978</v>
      </c>
      <c r="H508">
        <v>6.9</v>
      </c>
      <c r="I508">
        <v>26</v>
      </c>
      <c r="J508">
        <v>68</v>
      </c>
      <c r="K508">
        <v>78</v>
      </c>
    </row>
    <row r="509" spans="1:11" x14ac:dyDescent="0.3">
      <c r="A509" t="s">
        <v>1032</v>
      </c>
      <c r="B509" t="s">
        <v>1033</v>
      </c>
      <c r="C509">
        <v>112</v>
      </c>
      <c r="D509" t="s">
        <v>15</v>
      </c>
      <c r="E509" s="1">
        <v>44645</v>
      </c>
      <c r="F509">
        <v>6.1</v>
      </c>
      <c r="G509">
        <v>169000</v>
      </c>
      <c r="H509">
        <v>6.4640000000000004</v>
      </c>
      <c r="I509">
        <v>3943</v>
      </c>
      <c r="J509">
        <v>60</v>
      </c>
      <c r="K509">
        <v>78</v>
      </c>
    </row>
    <row r="510" spans="1:11" x14ac:dyDescent="0.3">
      <c r="A510" t="s">
        <v>1034</v>
      </c>
      <c r="B510" t="s">
        <v>1035</v>
      </c>
      <c r="C510">
        <v>137</v>
      </c>
      <c r="D510" t="s">
        <v>28</v>
      </c>
      <c r="E510" s="1">
        <v>45745</v>
      </c>
      <c r="F510">
        <v>6.5</v>
      </c>
      <c r="G510">
        <v>18000</v>
      </c>
      <c r="H510">
        <v>6.59</v>
      </c>
      <c r="I510">
        <v>501</v>
      </c>
      <c r="J510">
        <v>72</v>
      </c>
      <c r="K510">
        <v>77</v>
      </c>
    </row>
    <row r="511" spans="1:11" x14ac:dyDescent="0.3">
      <c r="A511" t="s">
        <v>1036</v>
      </c>
      <c r="B511" t="s">
        <v>1037</v>
      </c>
      <c r="C511">
        <v>98</v>
      </c>
      <c r="D511" t="s">
        <v>28</v>
      </c>
      <c r="E511" s="1">
        <v>45709</v>
      </c>
      <c r="F511">
        <v>6.3</v>
      </c>
      <c r="G511">
        <v>23000</v>
      </c>
      <c r="H511">
        <v>6</v>
      </c>
      <c r="I511">
        <v>1256</v>
      </c>
      <c r="J511">
        <v>62</v>
      </c>
      <c r="K511">
        <v>77</v>
      </c>
    </row>
    <row r="512" spans="1:11" x14ac:dyDescent="0.3">
      <c r="A512" t="s">
        <v>1038</v>
      </c>
      <c r="B512" t="s">
        <v>1039</v>
      </c>
      <c r="C512">
        <v>109</v>
      </c>
      <c r="D512" t="s">
        <v>28</v>
      </c>
      <c r="E512" s="1">
        <v>45576</v>
      </c>
      <c r="F512">
        <v>6.9</v>
      </c>
      <c r="G512">
        <v>29000</v>
      </c>
      <c r="H512">
        <v>6.68</v>
      </c>
      <c r="I512">
        <v>345</v>
      </c>
      <c r="J512">
        <v>60</v>
      </c>
      <c r="K512">
        <v>77</v>
      </c>
    </row>
    <row r="513" spans="1:11" x14ac:dyDescent="0.3">
      <c r="A513" t="s">
        <v>1040</v>
      </c>
      <c r="B513" t="s">
        <v>1041</v>
      </c>
      <c r="C513">
        <v>103</v>
      </c>
      <c r="D513" t="s">
        <v>15</v>
      </c>
      <c r="E513" s="1">
        <v>45575</v>
      </c>
      <c r="F513">
        <v>6.8</v>
      </c>
      <c r="G513">
        <v>41000</v>
      </c>
      <c r="H513">
        <v>7.2169999999999996</v>
      </c>
      <c r="I513">
        <v>448</v>
      </c>
      <c r="J513">
        <v>55</v>
      </c>
      <c r="K513">
        <v>77</v>
      </c>
    </row>
    <row r="514" spans="1:11" x14ac:dyDescent="0.3">
      <c r="A514" t="s">
        <v>1042</v>
      </c>
      <c r="B514" t="s">
        <v>1043</v>
      </c>
      <c r="C514">
        <v>180</v>
      </c>
      <c r="D514" t="s">
        <v>18</v>
      </c>
      <c r="E514" s="1">
        <v>45470</v>
      </c>
      <c r="F514">
        <v>7</v>
      </c>
      <c r="G514">
        <v>66000</v>
      </c>
      <c r="H514">
        <v>6.4180000000000001</v>
      </c>
      <c r="I514">
        <v>171</v>
      </c>
      <c r="J514">
        <v>65</v>
      </c>
      <c r="K514">
        <v>77</v>
      </c>
    </row>
    <row r="515" spans="1:11" x14ac:dyDescent="0.3">
      <c r="A515" t="s">
        <v>1044</v>
      </c>
      <c r="B515" t="s">
        <v>1045</v>
      </c>
      <c r="C515">
        <v>103</v>
      </c>
      <c r="D515" t="s">
        <v>28</v>
      </c>
      <c r="E515" s="1">
        <v>45191</v>
      </c>
      <c r="F515">
        <v>6.1</v>
      </c>
      <c r="G515">
        <v>3300</v>
      </c>
      <c r="H515">
        <v>5.7</v>
      </c>
      <c r="I515">
        <v>83</v>
      </c>
      <c r="J515">
        <v>62</v>
      </c>
      <c r="K515">
        <v>77</v>
      </c>
    </row>
    <row r="516" spans="1:11" x14ac:dyDescent="0.3">
      <c r="A516" t="s">
        <v>1046</v>
      </c>
      <c r="B516" t="s">
        <v>1047</v>
      </c>
      <c r="C516">
        <v>122</v>
      </c>
      <c r="D516" t="s">
        <v>28</v>
      </c>
      <c r="E516" s="1">
        <v>45086</v>
      </c>
      <c r="F516">
        <v>6.7</v>
      </c>
      <c r="G516">
        <v>1800</v>
      </c>
      <c r="H516">
        <v>6.6</v>
      </c>
      <c r="I516">
        <v>35</v>
      </c>
      <c r="J516">
        <v>56</v>
      </c>
      <c r="K516">
        <v>77</v>
      </c>
    </row>
    <row r="517" spans="1:11" x14ac:dyDescent="0.3">
      <c r="A517" t="s">
        <v>1048</v>
      </c>
      <c r="B517" t="s">
        <v>1049</v>
      </c>
      <c r="C517">
        <v>104</v>
      </c>
      <c r="D517" t="s">
        <v>28</v>
      </c>
      <c r="E517" s="1">
        <v>45078</v>
      </c>
      <c r="F517">
        <v>6.1</v>
      </c>
      <c r="G517">
        <v>5400</v>
      </c>
      <c r="H517">
        <v>5.4</v>
      </c>
      <c r="I517">
        <v>127</v>
      </c>
      <c r="J517">
        <v>66</v>
      </c>
      <c r="K517">
        <v>77</v>
      </c>
    </row>
    <row r="518" spans="1:11" x14ac:dyDescent="0.3">
      <c r="A518" t="s">
        <v>1050</v>
      </c>
      <c r="B518" t="s">
        <v>1051</v>
      </c>
      <c r="C518">
        <v>108</v>
      </c>
      <c r="D518" t="s">
        <v>15</v>
      </c>
      <c r="E518" s="1">
        <v>45009</v>
      </c>
      <c r="F518">
        <v>6.7</v>
      </c>
      <c r="G518">
        <v>9500</v>
      </c>
      <c r="H518">
        <v>6.5</v>
      </c>
      <c r="I518">
        <v>191</v>
      </c>
      <c r="J518">
        <v>64</v>
      </c>
      <c r="K518">
        <v>77</v>
      </c>
    </row>
    <row r="519" spans="1:11" x14ac:dyDescent="0.3">
      <c r="A519" t="s">
        <v>1052</v>
      </c>
      <c r="B519" t="s">
        <v>1053</v>
      </c>
      <c r="C519">
        <v>122</v>
      </c>
      <c r="D519" t="s">
        <v>28</v>
      </c>
      <c r="E519" s="1">
        <v>44995</v>
      </c>
      <c r="F519">
        <v>6.4</v>
      </c>
      <c r="G519">
        <v>136000</v>
      </c>
      <c r="H519">
        <v>6.9530000000000003</v>
      </c>
      <c r="I519">
        <v>3130</v>
      </c>
      <c r="J519">
        <v>61</v>
      </c>
      <c r="K519">
        <v>77</v>
      </c>
    </row>
    <row r="520" spans="1:11" x14ac:dyDescent="0.3">
      <c r="A520" t="s">
        <v>1054</v>
      </c>
      <c r="B520" t="s">
        <v>1055</v>
      </c>
      <c r="C520">
        <v>95</v>
      </c>
      <c r="D520" t="s">
        <v>18</v>
      </c>
      <c r="E520" s="1">
        <v>44988</v>
      </c>
      <c r="F520">
        <v>5.7</v>
      </c>
      <c r="G520">
        <v>1300</v>
      </c>
      <c r="H520">
        <v>5.8</v>
      </c>
      <c r="I520">
        <v>40</v>
      </c>
      <c r="J520">
        <v>65</v>
      </c>
      <c r="K520">
        <v>77</v>
      </c>
    </row>
    <row r="521" spans="1:11" x14ac:dyDescent="0.3">
      <c r="A521" t="s">
        <v>1056</v>
      </c>
      <c r="B521" t="s">
        <v>1057</v>
      </c>
      <c r="C521">
        <v>114</v>
      </c>
      <c r="D521" t="s">
        <v>28</v>
      </c>
      <c r="E521" s="1">
        <v>44869</v>
      </c>
      <c r="F521">
        <v>6.5</v>
      </c>
      <c r="G521">
        <v>17000</v>
      </c>
      <c r="H521">
        <v>6.4</v>
      </c>
      <c r="I521">
        <v>489</v>
      </c>
      <c r="J521">
        <v>74</v>
      </c>
      <c r="K521">
        <v>77</v>
      </c>
    </row>
    <row r="522" spans="1:11" x14ac:dyDescent="0.3">
      <c r="A522" t="s">
        <v>1058</v>
      </c>
      <c r="B522" t="s">
        <v>1059</v>
      </c>
      <c r="C522">
        <v>159</v>
      </c>
      <c r="D522" t="s">
        <v>15</v>
      </c>
      <c r="E522" s="1">
        <v>44736</v>
      </c>
      <c r="F522">
        <v>7.3</v>
      </c>
      <c r="G522">
        <v>249000</v>
      </c>
      <c r="H522">
        <v>7.4630000000000001</v>
      </c>
      <c r="I522">
        <v>3837</v>
      </c>
      <c r="J522">
        <v>64</v>
      </c>
      <c r="K522">
        <v>77</v>
      </c>
    </row>
    <row r="523" spans="1:11" x14ac:dyDescent="0.3">
      <c r="A523" t="s">
        <v>1060</v>
      </c>
      <c r="B523" t="s">
        <v>1061</v>
      </c>
      <c r="C523">
        <v>101</v>
      </c>
      <c r="D523" t="s">
        <v>15</v>
      </c>
      <c r="E523" s="1">
        <v>44610</v>
      </c>
      <c r="F523">
        <v>6.5</v>
      </c>
      <c r="G523">
        <v>49000</v>
      </c>
      <c r="H523">
        <v>7.2939999999999996</v>
      </c>
      <c r="I523">
        <v>1743</v>
      </c>
      <c r="J523">
        <v>61</v>
      </c>
      <c r="K523">
        <v>77</v>
      </c>
    </row>
    <row r="524" spans="1:11" x14ac:dyDescent="0.3">
      <c r="A524" t="s">
        <v>1062</v>
      </c>
      <c r="B524" t="s">
        <v>1063</v>
      </c>
      <c r="C524">
        <v>114</v>
      </c>
      <c r="D524" t="s">
        <v>28</v>
      </c>
      <c r="E524" s="1">
        <v>45651</v>
      </c>
      <c r="F524">
        <v>6</v>
      </c>
      <c r="G524">
        <v>49000</v>
      </c>
      <c r="H524">
        <v>5.6920000000000002</v>
      </c>
      <c r="I524">
        <v>1169</v>
      </c>
      <c r="J524">
        <v>79</v>
      </c>
      <c r="K524">
        <v>76</v>
      </c>
    </row>
    <row r="525" spans="1:11" x14ac:dyDescent="0.3">
      <c r="A525" t="s">
        <v>1064</v>
      </c>
      <c r="B525" t="s">
        <v>1065</v>
      </c>
      <c r="C525">
        <v>124</v>
      </c>
      <c r="D525" t="s">
        <v>28</v>
      </c>
      <c r="E525" s="1">
        <v>45637</v>
      </c>
      <c r="F525">
        <v>6.4</v>
      </c>
      <c r="G525">
        <v>18000</v>
      </c>
      <c r="H525">
        <v>6.4470000000000001</v>
      </c>
      <c r="I525">
        <v>458</v>
      </c>
      <c r="J525">
        <v>63</v>
      </c>
      <c r="K525">
        <v>76</v>
      </c>
    </row>
    <row r="526" spans="1:11" x14ac:dyDescent="0.3">
      <c r="A526" t="s">
        <v>1066</v>
      </c>
      <c r="B526" t="s">
        <v>1067</v>
      </c>
      <c r="C526">
        <v>86</v>
      </c>
      <c r="D526" t="s">
        <v>28</v>
      </c>
      <c r="E526" s="1">
        <v>45632</v>
      </c>
      <c r="F526">
        <v>5.3</v>
      </c>
      <c r="G526">
        <v>6300</v>
      </c>
      <c r="H526">
        <v>5.2169999999999996</v>
      </c>
      <c r="I526">
        <v>161</v>
      </c>
      <c r="J526">
        <v>58</v>
      </c>
      <c r="K526">
        <v>76</v>
      </c>
    </row>
    <row r="527" spans="1:11" x14ac:dyDescent="0.3">
      <c r="A527" t="s">
        <v>1068</v>
      </c>
      <c r="B527" t="s">
        <v>1069</v>
      </c>
      <c r="C527">
        <v>104</v>
      </c>
      <c r="D527" t="s">
        <v>28</v>
      </c>
      <c r="E527" s="1">
        <v>45632</v>
      </c>
      <c r="F527">
        <v>5</v>
      </c>
      <c r="G527">
        <v>4300</v>
      </c>
      <c r="H527">
        <v>4.9210000000000003</v>
      </c>
      <c r="I527">
        <v>107</v>
      </c>
      <c r="J527">
        <v>69</v>
      </c>
      <c r="K527">
        <v>76</v>
      </c>
    </row>
    <row r="528" spans="1:11" x14ac:dyDescent="0.3">
      <c r="A528" t="s">
        <v>1070</v>
      </c>
      <c r="B528" t="s">
        <v>1071</v>
      </c>
      <c r="C528">
        <v>110</v>
      </c>
      <c r="D528" t="s">
        <v>25</v>
      </c>
      <c r="E528" s="1">
        <v>45590</v>
      </c>
      <c r="F528">
        <v>6.7</v>
      </c>
      <c r="G528">
        <v>1600</v>
      </c>
      <c r="H528">
        <v>6.4</v>
      </c>
      <c r="I528">
        <v>47</v>
      </c>
      <c r="J528">
        <v>53</v>
      </c>
      <c r="K528">
        <v>76</v>
      </c>
    </row>
    <row r="529" spans="1:11" x14ac:dyDescent="0.3">
      <c r="A529" t="s">
        <v>1072</v>
      </c>
      <c r="B529" t="s">
        <v>1073</v>
      </c>
      <c r="C529">
        <v>121</v>
      </c>
      <c r="D529" t="s">
        <v>15</v>
      </c>
      <c r="E529" s="1">
        <v>45569</v>
      </c>
      <c r="F529">
        <v>7.3</v>
      </c>
      <c r="G529">
        <v>5400</v>
      </c>
      <c r="H529">
        <v>7.8250000000000002</v>
      </c>
      <c r="I529">
        <v>231</v>
      </c>
      <c r="J529">
        <v>54</v>
      </c>
      <c r="K529">
        <v>76</v>
      </c>
    </row>
    <row r="530" spans="1:11" x14ac:dyDescent="0.3">
      <c r="A530" t="s">
        <v>1074</v>
      </c>
      <c r="B530" t="s">
        <v>1075</v>
      </c>
      <c r="C530">
        <v>96</v>
      </c>
      <c r="D530" t="s">
        <v>28</v>
      </c>
      <c r="E530" s="1">
        <v>45565</v>
      </c>
      <c r="F530">
        <v>6.1</v>
      </c>
      <c r="G530">
        <v>4300</v>
      </c>
      <c r="H530">
        <v>6.2519999999999998</v>
      </c>
      <c r="I530">
        <v>127</v>
      </c>
      <c r="J530">
        <v>69</v>
      </c>
      <c r="K530">
        <v>76</v>
      </c>
    </row>
    <row r="531" spans="1:11" x14ac:dyDescent="0.3">
      <c r="A531" t="s">
        <v>1076</v>
      </c>
      <c r="B531" t="s">
        <v>1077</v>
      </c>
      <c r="C531">
        <v>110</v>
      </c>
      <c r="D531" t="s">
        <v>28</v>
      </c>
      <c r="E531" s="1">
        <v>45457</v>
      </c>
      <c r="F531">
        <v>6.3</v>
      </c>
      <c r="G531">
        <v>3900</v>
      </c>
      <c r="H531">
        <v>6.8070000000000004</v>
      </c>
      <c r="I531">
        <v>101</v>
      </c>
      <c r="J531">
        <v>69</v>
      </c>
      <c r="K531">
        <v>76</v>
      </c>
    </row>
    <row r="532" spans="1:11" x14ac:dyDescent="0.3">
      <c r="A532" t="s">
        <v>1078</v>
      </c>
      <c r="B532" t="s">
        <v>1079</v>
      </c>
      <c r="C532">
        <v>85</v>
      </c>
      <c r="D532" t="s">
        <v>15</v>
      </c>
      <c r="E532" s="1">
        <v>45443</v>
      </c>
      <c r="F532">
        <v>7.7</v>
      </c>
      <c r="G532">
        <v>6000</v>
      </c>
      <c r="H532">
        <v>7.7</v>
      </c>
      <c r="I532">
        <v>235</v>
      </c>
      <c r="J532">
        <v>67</v>
      </c>
      <c r="K532">
        <v>76</v>
      </c>
    </row>
    <row r="533" spans="1:11" x14ac:dyDescent="0.3">
      <c r="A533" t="s">
        <v>1080</v>
      </c>
      <c r="B533" t="s">
        <v>1081</v>
      </c>
      <c r="C533">
        <v>102</v>
      </c>
      <c r="D533" t="s">
        <v>90</v>
      </c>
      <c r="E533" s="1">
        <v>45387</v>
      </c>
      <c r="F533">
        <v>6.5</v>
      </c>
      <c r="G533">
        <v>20000</v>
      </c>
      <c r="H533">
        <v>6.2969999999999997</v>
      </c>
      <c r="I533">
        <v>237</v>
      </c>
      <c r="J533">
        <v>63</v>
      </c>
      <c r="K533">
        <v>76</v>
      </c>
    </row>
    <row r="534" spans="1:11" x14ac:dyDescent="0.3">
      <c r="A534" t="s">
        <v>1082</v>
      </c>
      <c r="B534" t="s">
        <v>1083</v>
      </c>
      <c r="C534">
        <v>104</v>
      </c>
      <c r="D534" t="s">
        <v>28</v>
      </c>
      <c r="E534" s="1">
        <v>45331</v>
      </c>
      <c r="F534">
        <v>6.1</v>
      </c>
      <c r="G534">
        <v>29000</v>
      </c>
      <c r="H534">
        <v>7.1769999999999996</v>
      </c>
      <c r="I534">
        <v>991</v>
      </c>
      <c r="J534">
        <v>59</v>
      </c>
      <c r="K534">
        <v>76</v>
      </c>
    </row>
    <row r="535" spans="1:11" x14ac:dyDescent="0.3">
      <c r="A535" t="s">
        <v>1084</v>
      </c>
      <c r="B535" t="s">
        <v>1085</v>
      </c>
      <c r="C535">
        <v>103</v>
      </c>
      <c r="D535" t="s">
        <v>15</v>
      </c>
      <c r="E535" s="1">
        <v>45184</v>
      </c>
      <c r="F535">
        <v>6.5</v>
      </c>
      <c r="G535">
        <v>130000</v>
      </c>
      <c r="H535">
        <v>6.5739999999999998</v>
      </c>
      <c r="I535">
        <v>2786</v>
      </c>
      <c r="J535">
        <v>63</v>
      </c>
      <c r="K535">
        <v>76</v>
      </c>
    </row>
    <row r="536" spans="1:11" x14ac:dyDescent="0.3">
      <c r="A536" t="s">
        <v>1086</v>
      </c>
      <c r="B536" t="s">
        <v>1087</v>
      </c>
      <c r="C536">
        <v>91</v>
      </c>
      <c r="D536" t="s">
        <v>15</v>
      </c>
      <c r="E536" s="1">
        <v>45184</v>
      </c>
      <c r="F536">
        <v>6.8</v>
      </c>
      <c r="G536">
        <v>39000</v>
      </c>
      <c r="H536">
        <v>7.2089999999999996</v>
      </c>
      <c r="I536">
        <v>683</v>
      </c>
      <c r="J536">
        <v>55</v>
      </c>
      <c r="K536">
        <v>76</v>
      </c>
    </row>
    <row r="537" spans="1:11" x14ac:dyDescent="0.3">
      <c r="A537" t="s">
        <v>1088</v>
      </c>
      <c r="B537" t="s">
        <v>1089</v>
      </c>
      <c r="C537">
        <v>109</v>
      </c>
      <c r="D537" t="s">
        <v>28</v>
      </c>
      <c r="E537" s="1">
        <v>45170</v>
      </c>
      <c r="F537">
        <v>6.8</v>
      </c>
      <c r="G537">
        <v>143000</v>
      </c>
      <c r="H537">
        <v>7.29</v>
      </c>
      <c r="I537">
        <v>3647</v>
      </c>
      <c r="J537">
        <v>58</v>
      </c>
      <c r="K537">
        <v>76</v>
      </c>
    </row>
    <row r="538" spans="1:11" x14ac:dyDescent="0.3">
      <c r="A538" t="s">
        <v>1090</v>
      </c>
      <c r="B538" t="s">
        <v>1091</v>
      </c>
      <c r="C538">
        <v>105</v>
      </c>
      <c r="D538" t="s">
        <v>15</v>
      </c>
      <c r="E538" s="1">
        <v>45100</v>
      </c>
      <c r="F538">
        <v>6.4</v>
      </c>
      <c r="G538">
        <v>130000</v>
      </c>
      <c r="H538">
        <v>6.452</v>
      </c>
      <c r="I538">
        <v>2449</v>
      </c>
      <c r="J538">
        <v>76</v>
      </c>
      <c r="K538">
        <v>76</v>
      </c>
    </row>
    <row r="539" spans="1:11" x14ac:dyDescent="0.3">
      <c r="A539" t="s">
        <v>1092</v>
      </c>
      <c r="B539" t="s">
        <v>1093</v>
      </c>
      <c r="C539">
        <v>108</v>
      </c>
      <c r="D539" t="s">
        <v>15</v>
      </c>
      <c r="E539" s="1">
        <v>45022</v>
      </c>
      <c r="F539">
        <v>6.5</v>
      </c>
      <c r="G539">
        <v>7600</v>
      </c>
      <c r="H539">
        <v>6.4</v>
      </c>
      <c r="I539">
        <v>123</v>
      </c>
      <c r="J539">
        <v>67</v>
      </c>
      <c r="K539">
        <v>76</v>
      </c>
    </row>
    <row r="540" spans="1:11" x14ac:dyDescent="0.3">
      <c r="A540" t="s">
        <v>1094</v>
      </c>
      <c r="B540" t="s">
        <v>1095</v>
      </c>
      <c r="C540">
        <v>192</v>
      </c>
      <c r="D540" t="s">
        <v>15</v>
      </c>
      <c r="E540" s="1">
        <v>44911</v>
      </c>
      <c r="F540">
        <v>7.5</v>
      </c>
      <c r="G540">
        <v>530000</v>
      </c>
      <c r="H540">
        <v>7.593</v>
      </c>
      <c r="I540">
        <v>13962</v>
      </c>
      <c r="J540">
        <v>67</v>
      </c>
      <c r="K540">
        <v>76</v>
      </c>
    </row>
    <row r="541" spans="1:11" x14ac:dyDescent="0.3">
      <c r="A541" t="s">
        <v>1096</v>
      </c>
      <c r="B541" t="s">
        <v>1097</v>
      </c>
      <c r="C541">
        <v>116</v>
      </c>
      <c r="D541" t="s">
        <v>15</v>
      </c>
      <c r="E541" s="1">
        <v>44827</v>
      </c>
      <c r="F541">
        <v>5.7</v>
      </c>
      <c r="G541">
        <v>805</v>
      </c>
      <c r="H541">
        <v>5.9</v>
      </c>
      <c r="I541">
        <v>29</v>
      </c>
      <c r="J541">
        <v>52</v>
      </c>
      <c r="K541">
        <v>76</v>
      </c>
    </row>
    <row r="542" spans="1:11" x14ac:dyDescent="0.3">
      <c r="A542" t="s">
        <v>1098</v>
      </c>
      <c r="B542" t="s">
        <v>1099</v>
      </c>
      <c r="C542">
        <v>129</v>
      </c>
      <c r="D542" t="s">
        <v>25</v>
      </c>
      <c r="E542" s="1">
        <v>44715</v>
      </c>
      <c r="F542">
        <v>5.4</v>
      </c>
      <c r="G542">
        <v>1200</v>
      </c>
      <c r="H542">
        <v>5.3029999999999999</v>
      </c>
      <c r="I542">
        <v>61</v>
      </c>
      <c r="J542">
        <v>56</v>
      </c>
      <c r="K542">
        <v>76</v>
      </c>
    </row>
    <row r="543" spans="1:11" x14ac:dyDescent="0.3">
      <c r="A543" t="s">
        <v>1100</v>
      </c>
      <c r="B543" t="s">
        <v>1101</v>
      </c>
      <c r="C543">
        <v>119</v>
      </c>
      <c r="D543" t="s">
        <v>28</v>
      </c>
      <c r="E543" s="1">
        <v>45772</v>
      </c>
      <c r="F543">
        <v>5.9</v>
      </c>
      <c r="G543">
        <v>761</v>
      </c>
      <c r="H543">
        <v>5.8150000000000004</v>
      </c>
      <c r="I543">
        <v>216</v>
      </c>
      <c r="J543">
        <v>59</v>
      </c>
      <c r="K543">
        <v>75</v>
      </c>
    </row>
    <row r="544" spans="1:11" x14ac:dyDescent="0.3">
      <c r="A544" t="s">
        <v>1102</v>
      </c>
      <c r="B544" t="s">
        <v>1103</v>
      </c>
      <c r="C544">
        <v>99</v>
      </c>
      <c r="D544" t="s">
        <v>90</v>
      </c>
      <c r="E544" s="1">
        <v>45701</v>
      </c>
      <c r="F544">
        <v>6</v>
      </c>
      <c r="G544">
        <v>7500</v>
      </c>
      <c r="H544">
        <v>6.3209999999999997</v>
      </c>
      <c r="I544">
        <v>212</v>
      </c>
      <c r="J544">
        <v>44</v>
      </c>
      <c r="K544">
        <v>75</v>
      </c>
    </row>
    <row r="545" spans="1:11" x14ac:dyDescent="0.3">
      <c r="A545" t="s">
        <v>1104</v>
      </c>
      <c r="B545" t="s">
        <v>1105</v>
      </c>
      <c r="C545">
        <v>92</v>
      </c>
      <c r="D545" t="s">
        <v>28</v>
      </c>
      <c r="E545" s="1">
        <v>45597</v>
      </c>
      <c r="F545">
        <v>5.4</v>
      </c>
      <c r="G545">
        <v>453</v>
      </c>
      <c r="H545">
        <v>4.5999999999999996</v>
      </c>
      <c r="I545">
        <v>7</v>
      </c>
      <c r="J545">
        <v>59</v>
      </c>
      <c r="K545">
        <v>75</v>
      </c>
    </row>
    <row r="546" spans="1:11" x14ac:dyDescent="0.3">
      <c r="A546" t="s">
        <v>1106</v>
      </c>
      <c r="B546" t="s">
        <v>1107</v>
      </c>
      <c r="C546">
        <v>105</v>
      </c>
      <c r="D546" t="s">
        <v>15</v>
      </c>
      <c r="E546" s="1">
        <v>45541</v>
      </c>
      <c r="F546">
        <v>6.7</v>
      </c>
      <c r="G546">
        <v>144000</v>
      </c>
      <c r="H546">
        <v>6.9390000000000001</v>
      </c>
      <c r="I546">
        <v>3063</v>
      </c>
      <c r="J546">
        <v>62</v>
      </c>
      <c r="K546">
        <v>75</v>
      </c>
    </row>
    <row r="547" spans="1:11" x14ac:dyDescent="0.3">
      <c r="A547" t="s">
        <v>1108</v>
      </c>
      <c r="B547" t="s">
        <v>1109</v>
      </c>
      <c r="C547">
        <v>102</v>
      </c>
      <c r="D547" t="s">
        <v>28</v>
      </c>
      <c r="E547" s="1">
        <v>45527</v>
      </c>
      <c r="F547">
        <v>6.5</v>
      </c>
      <c r="G547">
        <v>102000</v>
      </c>
      <c r="H547">
        <v>6.6790000000000003</v>
      </c>
      <c r="I547">
        <v>1851</v>
      </c>
      <c r="J547">
        <v>66</v>
      </c>
      <c r="K547">
        <v>75</v>
      </c>
    </row>
    <row r="548" spans="1:11" x14ac:dyDescent="0.3">
      <c r="A548" t="s">
        <v>1110</v>
      </c>
      <c r="B548" t="s">
        <v>1111</v>
      </c>
      <c r="C548">
        <v>120</v>
      </c>
      <c r="D548" t="s">
        <v>28</v>
      </c>
      <c r="E548" s="1">
        <v>45520</v>
      </c>
      <c r="F548">
        <v>6.6</v>
      </c>
      <c r="G548">
        <v>1900</v>
      </c>
      <c r="H548">
        <v>6.7569999999999997</v>
      </c>
      <c r="I548">
        <v>74</v>
      </c>
      <c r="J548">
        <v>61</v>
      </c>
      <c r="K548">
        <v>75</v>
      </c>
    </row>
    <row r="549" spans="1:11" x14ac:dyDescent="0.3">
      <c r="A549" t="s">
        <v>1112</v>
      </c>
      <c r="B549" t="s">
        <v>1113</v>
      </c>
      <c r="C549">
        <v>122</v>
      </c>
      <c r="D549" t="s">
        <v>15</v>
      </c>
      <c r="E549" s="1">
        <v>45492</v>
      </c>
      <c r="F549">
        <v>6.5</v>
      </c>
      <c r="G549">
        <v>162000</v>
      </c>
      <c r="H549">
        <v>6.7779999999999996</v>
      </c>
      <c r="I549">
        <v>2908</v>
      </c>
      <c r="J549">
        <v>65</v>
      </c>
      <c r="K549">
        <v>75</v>
      </c>
    </row>
    <row r="550" spans="1:11" x14ac:dyDescent="0.3">
      <c r="A550" t="s">
        <v>1114</v>
      </c>
      <c r="B550" t="s">
        <v>1115</v>
      </c>
      <c r="C550">
        <v>100</v>
      </c>
      <c r="D550" t="s">
        <v>28</v>
      </c>
      <c r="E550" s="1">
        <v>45470</v>
      </c>
      <c r="F550">
        <v>6.6</v>
      </c>
      <c r="G550">
        <v>11000</v>
      </c>
      <c r="H550">
        <v>6.2880000000000003</v>
      </c>
      <c r="I550">
        <v>307</v>
      </c>
      <c r="J550">
        <v>62</v>
      </c>
      <c r="K550">
        <v>75</v>
      </c>
    </row>
    <row r="551" spans="1:11" x14ac:dyDescent="0.3">
      <c r="A551" t="s">
        <v>1116</v>
      </c>
      <c r="B551" t="s">
        <v>1117</v>
      </c>
      <c r="C551">
        <v>113</v>
      </c>
      <c r="D551" t="s">
        <v>28</v>
      </c>
      <c r="E551" s="1">
        <v>45361</v>
      </c>
      <c r="F551">
        <v>5.3</v>
      </c>
      <c r="G551">
        <v>388</v>
      </c>
      <c r="H551">
        <v>4.4089999999999998</v>
      </c>
      <c r="I551">
        <v>11</v>
      </c>
      <c r="J551">
        <v>66</v>
      </c>
      <c r="K551">
        <v>75</v>
      </c>
    </row>
    <row r="552" spans="1:11" x14ac:dyDescent="0.3">
      <c r="A552" t="s">
        <v>1118</v>
      </c>
      <c r="B552" t="s">
        <v>1119</v>
      </c>
      <c r="C552">
        <v>130</v>
      </c>
      <c r="D552" t="s">
        <v>12</v>
      </c>
      <c r="E552" s="1">
        <v>45238</v>
      </c>
      <c r="F552">
        <v>7.3</v>
      </c>
      <c r="G552">
        <v>9300</v>
      </c>
      <c r="H552">
        <v>7.1879999999999997</v>
      </c>
      <c r="I552">
        <v>112</v>
      </c>
      <c r="J552">
        <v>35</v>
      </c>
      <c r="K552">
        <v>75</v>
      </c>
    </row>
    <row r="553" spans="1:11" x14ac:dyDescent="0.3">
      <c r="A553" t="s">
        <v>1120</v>
      </c>
      <c r="B553" t="s">
        <v>1121</v>
      </c>
      <c r="C553">
        <v>88</v>
      </c>
      <c r="D553" t="s">
        <v>28</v>
      </c>
      <c r="E553" s="1">
        <v>45219</v>
      </c>
      <c r="F553">
        <v>5.9</v>
      </c>
      <c r="G553">
        <v>41000</v>
      </c>
      <c r="H553">
        <v>6.4370000000000003</v>
      </c>
      <c r="I553">
        <v>1043</v>
      </c>
      <c r="J553">
        <v>50</v>
      </c>
      <c r="K553">
        <v>75</v>
      </c>
    </row>
    <row r="554" spans="1:11" x14ac:dyDescent="0.3">
      <c r="A554" t="s">
        <v>1122</v>
      </c>
      <c r="B554" t="s">
        <v>1123</v>
      </c>
      <c r="C554">
        <v>118</v>
      </c>
      <c r="D554" t="s">
        <v>28</v>
      </c>
      <c r="E554" s="1">
        <v>45149</v>
      </c>
      <c r="F554">
        <v>6.9</v>
      </c>
      <c r="G554">
        <v>57000</v>
      </c>
      <c r="H554">
        <v>7.9370000000000003</v>
      </c>
      <c r="I554">
        <v>1527</v>
      </c>
      <c r="J554">
        <v>62</v>
      </c>
      <c r="K554">
        <v>75</v>
      </c>
    </row>
    <row r="555" spans="1:11" x14ac:dyDescent="0.3">
      <c r="A555" t="s">
        <v>1124</v>
      </c>
      <c r="B555" t="s">
        <v>1125</v>
      </c>
      <c r="C555">
        <v>110</v>
      </c>
      <c r="D555" t="s">
        <v>18</v>
      </c>
      <c r="E555" s="1">
        <v>45064</v>
      </c>
      <c r="F555">
        <v>3.9</v>
      </c>
      <c r="G555">
        <v>5000</v>
      </c>
      <c r="H555">
        <v>4.5</v>
      </c>
      <c r="I555">
        <v>100</v>
      </c>
      <c r="J555">
        <v>72</v>
      </c>
      <c r="K555">
        <v>75</v>
      </c>
    </row>
    <row r="556" spans="1:11" x14ac:dyDescent="0.3">
      <c r="A556" t="s">
        <v>1126</v>
      </c>
      <c r="B556" t="s">
        <v>1127</v>
      </c>
      <c r="C556">
        <v>109</v>
      </c>
      <c r="D556" t="s">
        <v>18</v>
      </c>
      <c r="E556" s="1">
        <v>44854</v>
      </c>
      <c r="F556">
        <v>5.2</v>
      </c>
      <c r="G556">
        <v>9800</v>
      </c>
      <c r="H556">
        <v>5.907</v>
      </c>
      <c r="I556">
        <v>350</v>
      </c>
      <c r="J556">
        <v>58</v>
      </c>
      <c r="K556">
        <v>75</v>
      </c>
    </row>
    <row r="557" spans="1:11" x14ac:dyDescent="0.3">
      <c r="A557" t="s">
        <v>1128</v>
      </c>
      <c r="B557" t="s">
        <v>1129</v>
      </c>
      <c r="C557">
        <v>98</v>
      </c>
      <c r="D557" t="s">
        <v>15</v>
      </c>
      <c r="E557" s="1">
        <v>44820</v>
      </c>
      <c r="F557">
        <v>6.5</v>
      </c>
      <c r="G557">
        <v>69000</v>
      </c>
      <c r="H557">
        <v>6.3490000000000002</v>
      </c>
      <c r="I557">
        <v>1274</v>
      </c>
      <c r="J557">
        <v>60</v>
      </c>
      <c r="K557">
        <v>75</v>
      </c>
    </row>
    <row r="558" spans="1:11" x14ac:dyDescent="0.3">
      <c r="A558" t="s">
        <v>1130</v>
      </c>
      <c r="B558" t="s">
        <v>1131</v>
      </c>
      <c r="C558">
        <v>96</v>
      </c>
      <c r="D558" t="s">
        <v>28</v>
      </c>
      <c r="E558" s="1">
        <v>44785</v>
      </c>
      <c r="F558">
        <v>6.3</v>
      </c>
      <c r="G558">
        <v>3500</v>
      </c>
      <c r="H558">
        <v>5.9</v>
      </c>
      <c r="I558">
        <v>49</v>
      </c>
      <c r="J558">
        <v>59</v>
      </c>
      <c r="K558">
        <v>75</v>
      </c>
    </row>
    <row r="559" spans="1:11" x14ac:dyDescent="0.3">
      <c r="A559" t="s">
        <v>1132</v>
      </c>
      <c r="B559" t="s">
        <v>1133</v>
      </c>
      <c r="C559">
        <v>112</v>
      </c>
      <c r="D559" t="s">
        <v>15</v>
      </c>
      <c r="E559" s="1">
        <v>45715</v>
      </c>
      <c r="F559">
        <v>6.6</v>
      </c>
      <c r="G559">
        <v>1100</v>
      </c>
      <c r="H559">
        <v>6.6130000000000004</v>
      </c>
      <c r="I559">
        <v>40</v>
      </c>
      <c r="J559">
        <v>56</v>
      </c>
      <c r="K559">
        <v>74</v>
      </c>
    </row>
    <row r="560" spans="1:11" x14ac:dyDescent="0.3">
      <c r="A560" t="s">
        <v>1134</v>
      </c>
      <c r="B560" t="s">
        <v>1135</v>
      </c>
      <c r="C560">
        <v>103</v>
      </c>
      <c r="D560" t="s">
        <v>15</v>
      </c>
      <c r="E560" s="1">
        <v>45436</v>
      </c>
      <c r="F560">
        <v>6.6</v>
      </c>
      <c r="G560">
        <v>1700</v>
      </c>
      <c r="H560">
        <v>6.3330000000000002</v>
      </c>
      <c r="I560">
        <v>39</v>
      </c>
      <c r="J560">
        <v>42</v>
      </c>
      <c r="K560">
        <v>74</v>
      </c>
    </row>
    <row r="561" spans="1:11" x14ac:dyDescent="0.3">
      <c r="A561" t="s">
        <v>1136</v>
      </c>
      <c r="B561" t="s">
        <v>1137</v>
      </c>
      <c r="C561">
        <v>112</v>
      </c>
      <c r="D561" t="s">
        <v>28</v>
      </c>
      <c r="E561" s="1">
        <v>44897</v>
      </c>
      <c r="F561">
        <v>6.7</v>
      </c>
      <c r="G561">
        <v>113000</v>
      </c>
      <c r="H561">
        <v>7.226</v>
      </c>
      <c r="I561">
        <v>2518</v>
      </c>
      <c r="J561">
        <v>55</v>
      </c>
      <c r="K561">
        <v>74</v>
      </c>
    </row>
    <row r="562" spans="1:11" x14ac:dyDescent="0.3">
      <c r="A562" t="s">
        <v>1138</v>
      </c>
      <c r="B562" t="s">
        <v>1139</v>
      </c>
      <c r="C562">
        <v>121</v>
      </c>
      <c r="D562" t="s">
        <v>28</v>
      </c>
      <c r="E562" s="1">
        <v>44860</v>
      </c>
      <c r="F562">
        <v>6.8</v>
      </c>
      <c r="G562">
        <v>85000</v>
      </c>
      <c r="H562">
        <v>6.8730000000000002</v>
      </c>
      <c r="I562">
        <v>1416</v>
      </c>
      <c r="J562">
        <v>65</v>
      </c>
      <c r="K562">
        <v>74</v>
      </c>
    </row>
    <row r="563" spans="1:11" x14ac:dyDescent="0.3">
      <c r="A563" t="s">
        <v>1140</v>
      </c>
      <c r="B563" t="s">
        <v>1141</v>
      </c>
      <c r="C563">
        <v>106</v>
      </c>
      <c r="D563" t="s">
        <v>28</v>
      </c>
      <c r="E563" s="1">
        <v>44834</v>
      </c>
      <c r="F563">
        <v>6.2</v>
      </c>
      <c r="G563">
        <v>6200</v>
      </c>
      <c r="H563">
        <v>6.2679999999999998</v>
      </c>
      <c r="I563">
        <v>198</v>
      </c>
      <c r="J563">
        <v>69</v>
      </c>
      <c r="K563">
        <v>74</v>
      </c>
    </row>
    <row r="564" spans="1:11" x14ac:dyDescent="0.3">
      <c r="A564" t="s">
        <v>1142</v>
      </c>
      <c r="B564" t="s">
        <v>1143</v>
      </c>
      <c r="C564">
        <v>126</v>
      </c>
      <c r="D564" t="s">
        <v>28</v>
      </c>
      <c r="E564" s="1">
        <v>44827</v>
      </c>
      <c r="F564">
        <v>6.4</v>
      </c>
      <c r="G564">
        <v>15000</v>
      </c>
      <c r="H564">
        <v>6.3</v>
      </c>
      <c r="I564">
        <v>412</v>
      </c>
      <c r="J564">
        <v>54</v>
      </c>
      <c r="K564">
        <v>74</v>
      </c>
    </row>
    <row r="565" spans="1:11" x14ac:dyDescent="0.3">
      <c r="A565" t="s">
        <v>1144</v>
      </c>
      <c r="B565" t="s">
        <v>1145</v>
      </c>
      <c r="C565">
        <v>105</v>
      </c>
      <c r="D565" t="s">
        <v>12</v>
      </c>
      <c r="E565" s="1">
        <v>44729</v>
      </c>
      <c r="F565">
        <v>6.1</v>
      </c>
      <c r="G565">
        <v>130000</v>
      </c>
      <c r="H565">
        <v>6.8789999999999996</v>
      </c>
      <c r="I565">
        <v>3754</v>
      </c>
      <c r="J565">
        <v>60</v>
      </c>
      <c r="K565">
        <v>74</v>
      </c>
    </row>
    <row r="566" spans="1:11" x14ac:dyDescent="0.3">
      <c r="A566" t="s">
        <v>1146</v>
      </c>
      <c r="B566" t="s">
        <v>1147</v>
      </c>
      <c r="C566">
        <v>140</v>
      </c>
      <c r="D566" t="s">
        <v>15</v>
      </c>
      <c r="E566" s="1">
        <v>45723</v>
      </c>
      <c r="F566">
        <v>6.9</v>
      </c>
      <c r="G566">
        <v>870</v>
      </c>
      <c r="H566">
        <v>6.7140000000000004</v>
      </c>
      <c r="I566">
        <v>56</v>
      </c>
      <c r="J566">
        <v>65</v>
      </c>
      <c r="K566">
        <v>73</v>
      </c>
    </row>
    <row r="567" spans="1:11" x14ac:dyDescent="0.3">
      <c r="A567" t="s">
        <v>1148</v>
      </c>
      <c r="B567" t="s">
        <v>1149</v>
      </c>
      <c r="C567">
        <v>118</v>
      </c>
      <c r="D567" t="s">
        <v>28</v>
      </c>
      <c r="E567" s="1">
        <v>45562</v>
      </c>
      <c r="F567">
        <v>6.2</v>
      </c>
      <c r="G567">
        <v>2400</v>
      </c>
      <c r="H567">
        <v>6.3</v>
      </c>
      <c r="I567">
        <v>103</v>
      </c>
      <c r="J567">
        <v>61</v>
      </c>
      <c r="K567">
        <v>73</v>
      </c>
    </row>
    <row r="568" spans="1:11" x14ac:dyDescent="0.3">
      <c r="A568" t="s">
        <v>1150</v>
      </c>
      <c r="B568" t="s">
        <v>1151</v>
      </c>
      <c r="C568">
        <v>103</v>
      </c>
      <c r="D568" t="s">
        <v>28</v>
      </c>
      <c r="E568" s="1">
        <v>45478</v>
      </c>
      <c r="F568">
        <v>6.3</v>
      </c>
      <c r="G568">
        <v>68000</v>
      </c>
      <c r="H568">
        <v>6.3010000000000002</v>
      </c>
      <c r="I568">
        <v>1438</v>
      </c>
      <c r="J568">
        <v>64</v>
      </c>
      <c r="K568">
        <v>73</v>
      </c>
    </row>
    <row r="569" spans="1:11" x14ac:dyDescent="0.3">
      <c r="A569" t="s">
        <v>1152</v>
      </c>
      <c r="B569" t="s">
        <v>1153</v>
      </c>
      <c r="C569">
        <v>85</v>
      </c>
      <c r="D569" t="s">
        <v>28</v>
      </c>
      <c r="E569" s="1">
        <v>45303</v>
      </c>
      <c r="F569">
        <v>6</v>
      </c>
      <c r="G569">
        <v>18000</v>
      </c>
      <c r="H569">
        <v>5.9080000000000004</v>
      </c>
      <c r="I569">
        <v>300</v>
      </c>
      <c r="J569">
        <v>59</v>
      </c>
      <c r="K569">
        <v>73</v>
      </c>
    </row>
    <row r="570" spans="1:11" x14ac:dyDescent="0.3">
      <c r="A570" t="s">
        <v>1154</v>
      </c>
      <c r="B570" t="s">
        <v>1155</v>
      </c>
      <c r="C570">
        <v>130</v>
      </c>
      <c r="D570" t="s">
        <v>28</v>
      </c>
      <c r="E570" s="1">
        <v>45285</v>
      </c>
      <c r="F570">
        <v>6.4</v>
      </c>
      <c r="G570">
        <v>62000</v>
      </c>
      <c r="H570">
        <v>6.4</v>
      </c>
      <c r="I570">
        <v>1232</v>
      </c>
      <c r="J570">
        <v>73</v>
      </c>
      <c r="K570">
        <v>73</v>
      </c>
    </row>
    <row r="571" spans="1:11" x14ac:dyDescent="0.3">
      <c r="A571" t="s">
        <v>1156</v>
      </c>
      <c r="B571" t="s">
        <v>1157</v>
      </c>
      <c r="C571">
        <v>83</v>
      </c>
      <c r="D571" t="s">
        <v>12</v>
      </c>
      <c r="E571" s="1">
        <v>45282</v>
      </c>
      <c r="F571">
        <v>6.6</v>
      </c>
      <c r="G571">
        <v>39000</v>
      </c>
      <c r="H571">
        <v>7.3479999999999999</v>
      </c>
      <c r="I571">
        <v>2212</v>
      </c>
      <c r="J571">
        <v>56</v>
      </c>
      <c r="K571">
        <v>73</v>
      </c>
    </row>
    <row r="572" spans="1:11" x14ac:dyDescent="0.3">
      <c r="A572" t="s">
        <v>1158</v>
      </c>
      <c r="B572" t="s">
        <v>1159</v>
      </c>
      <c r="C572">
        <v>138</v>
      </c>
      <c r="D572" t="s">
        <v>28</v>
      </c>
      <c r="E572" s="1">
        <v>45268</v>
      </c>
      <c r="F572">
        <v>6.4</v>
      </c>
      <c r="G572">
        <v>228000</v>
      </c>
      <c r="H572">
        <v>6.3769999999999998</v>
      </c>
      <c r="I572">
        <v>3169</v>
      </c>
      <c r="J572">
        <v>68</v>
      </c>
      <c r="K572">
        <v>73</v>
      </c>
    </row>
    <row r="573" spans="1:11" x14ac:dyDescent="0.3">
      <c r="A573" t="s">
        <v>1160</v>
      </c>
      <c r="B573" t="s">
        <v>1161</v>
      </c>
      <c r="C573">
        <v>85</v>
      </c>
      <c r="D573" t="s">
        <v>28</v>
      </c>
      <c r="E573" s="1">
        <v>45210</v>
      </c>
      <c r="F573">
        <v>6</v>
      </c>
      <c r="G573">
        <v>4000</v>
      </c>
      <c r="H573">
        <v>5.8</v>
      </c>
      <c r="I573">
        <v>104</v>
      </c>
      <c r="J573">
        <v>60</v>
      </c>
      <c r="K573">
        <v>73</v>
      </c>
    </row>
    <row r="574" spans="1:11" x14ac:dyDescent="0.3">
      <c r="A574" t="s">
        <v>1162</v>
      </c>
      <c r="B574" t="s">
        <v>1163</v>
      </c>
      <c r="C574">
        <v>101</v>
      </c>
      <c r="D574" t="s">
        <v>12</v>
      </c>
      <c r="E574" s="1">
        <v>45093</v>
      </c>
      <c r="F574">
        <v>7</v>
      </c>
      <c r="G574">
        <v>148000</v>
      </c>
      <c r="H574">
        <v>7.5780000000000003</v>
      </c>
      <c r="I574">
        <v>5237</v>
      </c>
      <c r="J574">
        <v>58</v>
      </c>
      <c r="K574">
        <v>73</v>
      </c>
    </row>
    <row r="575" spans="1:11" x14ac:dyDescent="0.3">
      <c r="A575" t="s">
        <v>1164</v>
      </c>
      <c r="B575" t="s">
        <v>1165</v>
      </c>
      <c r="C575">
        <v>100</v>
      </c>
      <c r="D575" t="s">
        <v>18</v>
      </c>
      <c r="E575" s="1">
        <v>44959</v>
      </c>
      <c r="F575">
        <v>4.7</v>
      </c>
      <c r="G575">
        <v>18000</v>
      </c>
      <c r="H575">
        <v>5.3</v>
      </c>
      <c r="I575">
        <v>363</v>
      </c>
      <c r="J575">
        <v>66</v>
      </c>
      <c r="K575">
        <v>73</v>
      </c>
    </row>
    <row r="576" spans="1:11" x14ac:dyDescent="0.3">
      <c r="A576" t="s">
        <v>1166</v>
      </c>
      <c r="B576" t="s">
        <v>1167</v>
      </c>
      <c r="C576">
        <v>93</v>
      </c>
      <c r="D576" t="s">
        <v>12</v>
      </c>
      <c r="E576" s="1">
        <v>44911</v>
      </c>
      <c r="F576">
        <v>6.2</v>
      </c>
      <c r="G576">
        <v>6100</v>
      </c>
      <c r="H576">
        <v>6.6749999999999998</v>
      </c>
      <c r="I576">
        <v>180</v>
      </c>
      <c r="J576">
        <v>53</v>
      </c>
      <c r="K576">
        <v>73</v>
      </c>
    </row>
    <row r="577" spans="1:11" x14ac:dyDescent="0.3">
      <c r="A577" t="s">
        <v>1168</v>
      </c>
      <c r="B577" t="s">
        <v>1169</v>
      </c>
      <c r="C577">
        <v>126</v>
      </c>
      <c r="D577" t="s">
        <v>15</v>
      </c>
      <c r="E577" s="1">
        <v>44687</v>
      </c>
      <c r="F577">
        <v>6.9</v>
      </c>
      <c r="G577">
        <v>510000</v>
      </c>
      <c r="H577">
        <v>7.2249999999999996</v>
      </c>
      <c r="I577">
        <v>10205</v>
      </c>
      <c r="J577">
        <v>60</v>
      </c>
      <c r="K577">
        <v>73</v>
      </c>
    </row>
    <row r="578" spans="1:11" x14ac:dyDescent="0.3">
      <c r="A578" t="s">
        <v>1170</v>
      </c>
      <c r="B578" t="s">
        <v>1171</v>
      </c>
      <c r="C578">
        <v>104</v>
      </c>
      <c r="D578" t="s">
        <v>28</v>
      </c>
      <c r="E578" s="1">
        <v>45723</v>
      </c>
      <c r="F578">
        <v>6.5</v>
      </c>
      <c r="G578">
        <v>704</v>
      </c>
      <c r="H578">
        <v>6.2</v>
      </c>
      <c r="I578">
        <v>143</v>
      </c>
      <c r="J578">
        <v>66</v>
      </c>
      <c r="K578">
        <v>72</v>
      </c>
    </row>
    <row r="579" spans="1:11" x14ac:dyDescent="0.3">
      <c r="A579" t="s">
        <v>1172</v>
      </c>
      <c r="B579" t="s">
        <v>1173</v>
      </c>
      <c r="C579">
        <v>139</v>
      </c>
      <c r="D579" t="s">
        <v>28</v>
      </c>
      <c r="E579" s="1">
        <v>45590</v>
      </c>
      <c r="F579">
        <v>7.2</v>
      </c>
      <c r="G579">
        <v>2400</v>
      </c>
      <c r="H579">
        <v>6.9</v>
      </c>
      <c r="I579">
        <v>93</v>
      </c>
      <c r="J579">
        <v>74</v>
      </c>
      <c r="K579">
        <v>72</v>
      </c>
    </row>
    <row r="580" spans="1:11" x14ac:dyDescent="0.3">
      <c r="A580" t="s">
        <v>1174</v>
      </c>
      <c r="B580" t="s">
        <v>1175</v>
      </c>
      <c r="C580">
        <v>93</v>
      </c>
      <c r="D580" t="s">
        <v>28</v>
      </c>
      <c r="E580" s="1">
        <v>45499</v>
      </c>
      <c r="F580">
        <v>5.5</v>
      </c>
      <c r="G580">
        <v>7100</v>
      </c>
      <c r="H580">
        <v>5.4390000000000001</v>
      </c>
      <c r="I580">
        <v>223</v>
      </c>
      <c r="J580">
        <v>59</v>
      </c>
      <c r="K580">
        <v>72</v>
      </c>
    </row>
    <row r="581" spans="1:11" x14ac:dyDescent="0.3">
      <c r="A581" t="s">
        <v>1176</v>
      </c>
      <c r="B581" t="s">
        <v>1177</v>
      </c>
      <c r="C581">
        <v>89</v>
      </c>
      <c r="D581" t="s">
        <v>28</v>
      </c>
      <c r="E581" s="1">
        <v>45373</v>
      </c>
      <c r="F581">
        <v>5.8</v>
      </c>
      <c r="G581">
        <v>52000</v>
      </c>
      <c r="H581">
        <v>6.2</v>
      </c>
      <c r="I581">
        <v>1599</v>
      </c>
      <c r="J581">
        <v>57</v>
      </c>
      <c r="K581">
        <v>72</v>
      </c>
    </row>
    <row r="582" spans="1:11" x14ac:dyDescent="0.3">
      <c r="A582" t="s">
        <v>1178</v>
      </c>
      <c r="B582" t="s">
        <v>1179</v>
      </c>
      <c r="C582">
        <v>131</v>
      </c>
      <c r="D582" t="s">
        <v>28</v>
      </c>
      <c r="E582" s="1">
        <v>45282</v>
      </c>
      <c r="F582">
        <v>7</v>
      </c>
      <c r="G582">
        <v>242000</v>
      </c>
      <c r="H582">
        <v>6.9550000000000001</v>
      </c>
      <c r="I582">
        <v>2872</v>
      </c>
      <c r="J582">
        <v>61</v>
      </c>
      <c r="K582">
        <v>72</v>
      </c>
    </row>
    <row r="583" spans="1:11" x14ac:dyDescent="0.3">
      <c r="A583" t="s">
        <v>1180</v>
      </c>
      <c r="B583" t="s">
        <v>1181</v>
      </c>
      <c r="C583">
        <v>105</v>
      </c>
      <c r="D583" t="s">
        <v>28</v>
      </c>
      <c r="E583" s="1">
        <v>45246</v>
      </c>
      <c r="F583">
        <v>5.9</v>
      </c>
      <c r="G583">
        <v>4100</v>
      </c>
      <c r="H583">
        <v>5.9</v>
      </c>
      <c r="I583">
        <v>108</v>
      </c>
      <c r="J583">
        <v>53</v>
      </c>
      <c r="K583">
        <v>72</v>
      </c>
    </row>
    <row r="584" spans="1:11" x14ac:dyDescent="0.3">
      <c r="A584" t="s">
        <v>1182</v>
      </c>
      <c r="B584" t="s">
        <v>1183</v>
      </c>
      <c r="C584">
        <v>105</v>
      </c>
      <c r="D584" t="s">
        <v>28</v>
      </c>
      <c r="E584" s="1">
        <v>45225</v>
      </c>
      <c r="F584">
        <v>5.6</v>
      </c>
      <c r="G584">
        <v>6200</v>
      </c>
      <c r="H584">
        <v>5.8789999999999996</v>
      </c>
      <c r="I584">
        <v>202</v>
      </c>
      <c r="J584">
        <v>55</v>
      </c>
      <c r="K584">
        <v>72</v>
      </c>
    </row>
    <row r="585" spans="1:11" x14ac:dyDescent="0.3">
      <c r="A585" t="s">
        <v>1184</v>
      </c>
      <c r="B585" t="s">
        <v>1185</v>
      </c>
      <c r="C585">
        <v>88</v>
      </c>
      <c r="D585" t="s">
        <v>12</v>
      </c>
      <c r="E585" s="1">
        <v>45198</v>
      </c>
      <c r="F585">
        <v>5.9</v>
      </c>
      <c r="G585">
        <v>5800</v>
      </c>
      <c r="H585">
        <v>6.9950000000000001</v>
      </c>
      <c r="I585">
        <v>537</v>
      </c>
      <c r="J585">
        <v>49</v>
      </c>
      <c r="K585">
        <v>72</v>
      </c>
    </row>
    <row r="586" spans="1:11" x14ac:dyDescent="0.3">
      <c r="A586" t="s">
        <v>1186</v>
      </c>
      <c r="B586" t="s">
        <v>1187</v>
      </c>
      <c r="C586">
        <v>87</v>
      </c>
      <c r="D586" t="s">
        <v>12</v>
      </c>
      <c r="E586" s="1">
        <v>44904</v>
      </c>
      <c r="F586">
        <v>6.2</v>
      </c>
      <c r="G586">
        <v>12000</v>
      </c>
      <c r="H586">
        <v>6.7</v>
      </c>
      <c r="I586">
        <v>309</v>
      </c>
      <c r="J586">
        <v>46</v>
      </c>
      <c r="K586">
        <v>72</v>
      </c>
    </row>
    <row r="587" spans="1:11" x14ac:dyDescent="0.3">
      <c r="A587" t="s">
        <v>1188</v>
      </c>
      <c r="B587" t="s">
        <v>1189</v>
      </c>
      <c r="C587">
        <v>102</v>
      </c>
      <c r="D587" t="s">
        <v>12</v>
      </c>
      <c r="E587" s="1">
        <v>44888</v>
      </c>
      <c r="F587">
        <v>5.7</v>
      </c>
      <c r="G587">
        <v>48000</v>
      </c>
      <c r="H587">
        <v>6.2320000000000002</v>
      </c>
      <c r="I587">
        <v>1408</v>
      </c>
      <c r="J587">
        <v>65</v>
      </c>
      <c r="K587">
        <v>72</v>
      </c>
    </row>
    <row r="588" spans="1:11" x14ac:dyDescent="0.3">
      <c r="A588" t="s">
        <v>1190</v>
      </c>
      <c r="B588" t="s">
        <v>1191</v>
      </c>
      <c r="C588">
        <v>106</v>
      </c>
      <c r="D588" t="s">
        <v>12</v>
      </c>
      <c r="E588" s="1">
        <v>44841</v>
      </c>
      <c r="F588">
        <v>6.1</v>
      </c>
      <c r="G588">
        <v>17000</v>
      </c>
      <c r="H588">
        <v>7</v>
      </c>
      <c r="I588">
        <v>648</v>
      </c>
      <c r="J588">
        <v>51</v>
      </c>
      <c r="K588">
        <v>72</v>
      </c>
    </row>
    <row r="589" spans="1:11" x14ac:dyDescent="0.3">
      <c r="A589" t="s">
        <v>1192</v>
      </c>
      <c r="B589" t="s">
        <v>1193</v>
      </c>
      <c r="C589">
        <v>84</v>
      </c>
      <c r="D589" t="s">
        <v>28</v>
      </c>
      <c r="E589" s="1">
        <v>44841</v>
      </c>
      <c r="F589">
        <v>5.7</v>
      </c>
      <c r="G589">
        <v>17000</v>
      </c>
      <c r="H589">
        <v>6.0529999999999999</v>
      </c>
      <c r="I589">
        <v>393</v>
      </c>
      <c r="J589">
        <v>57</v>
      </c>
      <c r="K589">
        <v>72</v>
      </c>
    </row>
    <row r="590" spans="1:11" x14ac:dyDescent="0.3">
      <c r="A590" t="s">
        <v>1194</v>
      </c>
      <c r="B590" t="s">
        <v>1195</v>
      </c>
      <c r="C590">
        <v>147</v>
      </c>
      <c r="D590" t="s">
        <v>28</v>
      </c>
      <c r="E590" s="1">
        <v>44822</v>
      </c>
      <c r="F590">
        <v>7.3</v>
      </c>
      <c r="G590">
        <v>200000</v>
      </c>
      <c r="H590">
        <v>7</v>
      </c>
      <c r="I590">
        <v>2818</v>
      </c>
      <c r="J590">
        <v>63</v>
      </c>
      <c r="K590">
        <v>72</v>
      </c>
    </row>
    <row r="591" spans="1:11" x14ac:dyDescent="0.3">
      <c r="A591" t="s">
        <v>1196</v>
      </c>
      <c r="B591" t="s">
        <v>1197</v>
      </c>
      <c r="C591">
        <v>106</v>
      </c>
      <c r="D591" t="s">
        <v>28</v>
      </c>
      <c r="E591" s="1">
        <v>44806</v>
      </c>
      <c r="F591">
        <v>5.3</v>
      </c>
      <c r="G591">
        <v>4400</v>
      </c>
      <c r="H591">
        <v>4.7</v>
      </c>
      <c r="I591">
        <v>52</v>
      </c>
      <c r="J591">
        <v>63</v>
      </c>
      <c r="K591">
        <v>72</v>
      </c>
    </row>
    <row r="592" spans="1:11" x14ac:dyDescent="0.3">
      <c r="A592" t="s">
        <v>1198</v>
      </c>
      <c r="B592" t="s">
        <v>1199</v>
      </c>
      <c r="C592">
        <v>111</v>
      </c>
      <c r="D592" t="s">
        <v>28</v>
      </c>
      <c r="E592" s="1">
        <v>44797</v>
      </c>
      <c r="F592">
        <v>6.4</v>
      </c>
      <c r="G592">
        <v>7200</v>
      </c>
      <c r="H592">
        <v>7.6539999999999999</v>
      </c>
      <c r="I592">
        <v>881</v>
      </c>
      <c r="J592">
        <v>54</v>
      </c>
      <c r="K592">
        <v>72</v>
      </c>
    </row>
    <row r="593" spans="1:11" x14ac:dyDescent="0.3">
      <c r="A593" t="s">
        <v>1200</v>
      </c>
      <c r="B593" t="s">
        <v>1201</v>
      </c>
      <c r="C593">
        <v>105</v>
      </c>
      <c r="D593" t="s">
        <v>12</v>
      </c>
      <c r="E593" s="1">
        <v>44771</v>
      </c>
      <c r="F593">
        <v>7</v>
      </c>
      <c r="G593">
        <v>79000</v>
      </c>
      <c r="H593">
        <v>7.2</v>
      </c>
      <c r="I593">
        <v>1708</v>
      </c>
      <c r="J593">
        <v>56</v>
      </c>
      <c r="K593">
        <v>72</v>
      </c>
    </row>
    <row r="594" spans="1:11" x14ac:dyDescent="0.3">
      <c r="A594" t="s">
        <v>1202</v>
      </c>
      <c r="B594" t="s">
        <v>1203</v>
      </c>
      <c r="C594">
        <v>94</v>
      </c>
      <c r="D594" t="s">
        <v>28</v>
      </c>
      <c r="E594" s="1">
        <v>44701</v>
      </c>
      <c r="F594">
        <v>5.8</v>
      </c>
      <c r="G594">
        <v>14000</v>
      </c>
      <c r="H594">
        <v>5.9640000000000004</v>
      </c>
      <c r="I594">
        <v>375</v>
      </c>
      <c r="J594">
        <v>62</v>
      </c>
      <c r="K594">
        <v>72</v>
      </c>
    </row>
    <row r="595" spans="1:11" x14ac:dyDescent="0.3">
      <c r="A595" t="s">
        <v>1204</v>
      </c>
      <c r="B595" t="s">
        <v>1205</v>
      </c>
      <c r="C595">
        <v>95</v>
      </c>
      <c r="D595" t="s">
        <v>28</v>
      </c>
      <c r="E595" s="1">
        <v>45737</v>
      </c>
      <c r="F595">
        <v>5.9</v>
      </c>
      <c r="G595">
        <v>835</v>
      </c>
      <c r="H595">
        <v>5.1619999999999999</v>
      </c>
      <c r="I595">
        <v>425</v>
      </c>
      <c r="J595">
        <v>63</v>
      </c>
      <c r="K595">
        <v>71</v>
      </c>
    </row>
    <row r="596" spans="1:11" x14ac:dyDescent="0.3">
      <c r="A596" t="s">
        <v>1206</v>
      </c>
      <c r="B596" t="s">
        <v>1207</v>
      </c>
      <c r="C596">
        <v>87</v>
      </c>
      <c r="D596" t="s">
        <v>160</v>
      </c>
      <c r="E596" s="1">
        <v>45723</v>
      </c>
      <c r="F596">
        <v>5.4</v>
      </c>
      <c r="G596">
        <v>2300</v>
      </c>
      <c r="H596">
        <v>6.7380000000000004</v>
      </c>
      <c r="I596">
        <v>160</v>
      </c>
      <c r="J596">
        <v>61</v>
      </c>
      <c r="K596">
        <v>71</v>
      </c>
    </row>
    <row r="597" spans="1:11" x14ac:dyDescent="0.3">
      <c r="A597" t="s">
        <v>1208</v>
      </c>
      <c r="B597" t="s">
        <v>1209</v>
      </c>
      <c r="C597">
        <v>86</v>
      </c>
      <c r="D597" t="s">
        <v>28</v>
      </c>
      <c r="E597" s="1">
        <v>45562</v>
      </c>
      <c r="F597">
        <v>5.4</v>
      </c>
      <c r="G597">
        <v>10000</v>
      </c>
      <c r="H597">
        <v>5.9059999999999997</v>
      </c>
      <c r="I597">
        <v>406</v>
      </c>
      <c r="J597">
        <v>52</v>
      </c>
      <c r="K597">
        <v>71</v>
      </c>
    </row>
    <row r="598" spans="1:11" x14ac:dyDescent="0.3">
      <c r="A598" t="s">
        <v>1210</v>
      </c>
      <c r="B598" t="s">
        <v>1211</v>
      </c>
      <c r="C598">
        <v>164</v>
      </c>
      <c r="D598" t="s">
        <v>28</v>
      </c>
      <c r="E598" s="1">
        <v>45471</v>
      </c>
      <c r="F598">
        <v>6.5</v>
      </c>
      <c r="G598">
        <v>58000</v>
      </c>
      <c r="H598">
        <v>6.4969999999999999</v>
      </c>
      <c r="I598">
        <v>1245</v>
      </c>
      <c r="J598">
        <v>64</v>
      </c>
      <c r="K598">
        <v>71</v>
      </c>
    </row>
    <row r="599" spans="1:11" x14ac:dyDescent="0.3">
      <c r="A599" t="s">
        <v>1212</v>
      </c>
      <c r="B599" t="s">
        <v>1213</v>
      </c>
      <c r="C599">
        <v>88</v>
      </c>
      <c r="D599" t="s">
        <v>28</v>
      </c>
      <c r="E599" s="1">
        <v>45401</v>
      </c>
      <c r="F599">
        <v>5.4</v>
      </c>
      <c r="G599">
        <v>5300</v>
      </c>
      <c r="H599">
        <v>5.6849999999999996</v>
      </c>
      <c r="I599">
        <v>92</v>
      </c>
      <c r="J599">
        <v>66</v>
      </c>
      <c r="K599">
        <v>71</v>
      </c>
    </row>
    <row r="600" spans="1:11" x14ac:dyDescent="0.3">
      <c r="A600" t="s">
        <v>1214</v>
      </c>
      <c r="B600" t="s">
        <v>1215</v>
      </c>
      <c r="C600">
        <v>94</v>
      </c>
      <c r="D600" t="s">
        <v>12</v>
      </c>
      <c r="E600" s="1">
        <v>45359</v>
      </c>
      <c r="F600">
        <v>6.3</v>
      </c>
      <c r="G600">
        <v>67000</v>
      </c>
      <c r="H600">
        <v>7.0010000000000003</v>
      </c>
      <c r="I600">
        <v>3449</v>
      </c>
      <c r="J600">
        <v>54</v>
      </c>
      <c r="K600">
        <v>71</v>
      </c>
    </row>
    <row r="601" spans="1:11" x14ac:dyDescent="0.3">
      <c r="A601" t="s">
        <v>1216</v>
      </c>
      <c r="B601" t="s">
        <v>1217</v>
      </c>
      <c r="C601">
        <v>105</v>
      </c>
      <c r="D601" t="s">
        <v>28</v>
      </c>
      <c r="E601" s="1">
        <v>45303</v>
      </c>
      <c r="F601">
        <v>6.3</v>
      </c>
      <c r="G601">
        <v>153000</v>
      </c>
      <c r="H601">
        <v>7.242</v>
      </c>
      <c r="I601">
        <v>4117</v>
      </c>
      <c r="J601">
        <v>53</v>
      </c>
      <c r="K601">
        <v>71</v>
      </c>
    </row>
    <row r="602" spans="1:11" x14ac:dyDescent="0.3">
      <c r="A602" t="s">
        <v>1218</v>
      </c>
      <c r="B602" t="s">
        <v>1219</v>
      </c>
      <c r="C602">
        <v>154</v>
      </c>
      <c r="D602" t="s">
        <v>15</v>
      </c>
      <c r="E602" s="1">
        <v>45107</v>
      </c>
      <c r="F602">
        <v>6.5</v>
      </c>
      <c r="G602">
        <v>218000</v>
      </c>
      <c r="H602">
        <v>6.5</v>
      </c>
      <c r="I602">
        <v>4086</v>
      </c>
      <c r="J602">
        <v>58</v>
      </c>
      <c r="K602">
        <v>71</v>
      </c>
    </row>
    <row r="603" spans="1:11" x14ac:dyDescent="0.3">
      <c r="A603" t="s">
        <v>1220</v>
      </c>
      <c r="B603" t="s">
        <v>1221</v>
      </c>
      <c r="C603">
        <v>103</v>
      </c>
      <c r="D603" t="s">
        <v>28</v>
      </c>
      <c r="E603" s="1">
        <v>45100</v>
      </c>
      <c r="F603">
        <v>6.3</v>
      </c>
      <c r="G603">
        <v>192000</v>
      </c>
      <c r="H603">
        <v>6.6779999999999999</v>
      </c>
      <c r="I603">
        <v>3757</v>
      </c>
      <c r="J603">
        <v>59</v>
      </c>
      <c r="K603">
        <v>71</v>
      </c>
    </row>
    <row r="604" spans="1:11" x14ac:dyDescent="0.3">
      <c r="A604" t="s">
        <v>1222</v>
      </c>
      <c r="B604" t="s">
        <v>1223</v>
      </c>
      <c r="C604">
        <v>111</v>
      </c>
      <c r="D604" t="s">
        <v>28</v>
      </c>
      <c r="E604" s="1">
        <v>45072</v>
      </c>
      <c r="F604">
        <v>6.1</v>
      </c>
      <c r="G604">
        <v>12000</v>
      </c>
      <c r="H604">
        <v>6</v>
      </c>
      <c r="I604">
        <v>328</v>
      </c>
      <c r="J604">
        <v>63</v>
      </c>
      <c r="K604">
        <v>71</v>
      </c>
    </row>
    <row r="605" spans="1:11" x14ac:dyDescent="0.3">
      <c r="A605" t="s">
        <v>1224</v>
      </c>
      <c r="B605" t="s">
        <v>1225</v>
      </c>
      <c r="C605">
        <v>108</v>
      </c>
      <c r="D605" t="s">
        <v>15</v>
      </c>
      <c r="E605" s="1">
        <v>45051</v>
      </c>
      <c r="F605">
        <v>6.3</v>
      </c>
      <c r="G605">
        <v>11000</v>
      </c>
      <c r="H605">
        <v>6.0430000000000001</v>
      </c>
      <c r="I605">
        <v>234</v>
      </c>
      <c r="J605">
        <v>59</v>
      </c>
      <c r="K605">
        <v>71</v>
      </c>
    </row>
    <row r="606" spans="1:11" x14ac:dyDescent="0.3">
      <c r="A606" t="s">
        <v>1226</v>
      </c>
      <c r="B606" t="s">
        <v>1227</v>
      </c>
      <c r="C606">
        <v>106</v>
      </c>
      <c r="D606" t="s">
        <v>28</v>
      </c>
      <c r="E606" s="1">
        <v>44967</v>
      </c>
      <c r="F606">
        <v>5.7</v>
      </c>
      <c r="G606">
        <v>9100</v>
      </c>
      <c r="H606">
        <v>5.774</v>
      </c>
      <c r="I606">
        <v>197</v>
      </c>
      <c r="J606">
        <v>57</v>
      </c>
      <c r="K606">
        <v>71</v>
      </c>
    </row>
    <row r="607" spans="1:11" x14ac:dyDescent="0.3">
      <c r="A607" t="s">
        <v>1228</v>
      </c>
      <c r="B607" t="s">
        <v>1229</v>
      </c>
      <c r="C607">
        <v>92</v>
      </c>
      <c r="D607" t="s">
        <v>18</v>
      </c>
      <c r="E607" s="1">
        <v>44874</v>
      </c>
      <c r="F607">
        <v>6.4</v>
      </c>
      <c r="G607">
        <v>541</v>
      </c>
      <c r="H607">
        <v>6.3</v>
      </c>
      <c r="I607">
        <v>27</v>
      </c>
      <c r="J607">
        <v>58</v>
      </c>
      <c r="K607">
        <v>71</v>
      </c>
    </row>
    <row r="608" spans="1:11" x14ac:dyDescent="0.3">
      <c r="A608" t="s">
        <v>1230</v>
      </c>
      <c r="B608" t="s">
        <v>1231</v>
      </c>
      <c r="C608">
        <v>104</v>
      </c>
      <c r="D608" t="s">
        <v>28</v>
      </c>
      <c r="E608" s="1">
        <v>44834</v>
      </c>
      <c r="F608">
        <v>6.4</v>
      </c>
      <c r="G608">
        <v>3300</v>
      </c>
      <c r="H608">
        <v>6.2</v>
      </c>
      <c r="I608">
        <v>83</v>
      </c>
      <c r="J608">
        <v>62</v>
      </c>
      <c r="K608">
        <v>71</v>
      </c>
    </row>
    <row r="609" spans="1:11" x14ac:dyDescent="0.3">
      <c r="A609" t="s">
        <v>1232</v>
      </c>
      <c r="B609" t="s">
        <v>1233</v>
      </c>
      <c r="C609">
        <v>108</v>
      </c>
      <c r="D609" t="s">
        <v>28</v>
      </c>
      <c r="E609" s="1">
        <v>44799</v>
      </c>
      <c r="F609">
        <v>6.7</v>
      </c>
      <c r="G609">
        <v>68000</v>
      </c>
      <c r="H609">
        <v>6.8810000000000002</v>
      </c>
      <c r="I609">
        <v>1637</v>
      </c>
      <c r="J609">
        <v>60</v>
      </c>
      <c r="K609">
        <v>71</v>
      </c>
    </row>
    <row r="610" spans="1:11" x14ac:dyDescent="0.3">
      <c r="A610" t="s">
        <v>1234</v>
      </c>
      <c r="B610" t="s">
        <v>1235</v>
      </c>
      <c r="C610">
        <v>111</v>
      </c>
      <c r="D610" t="s">
        <v>28</v>
      </c>
      <c r="E610" s="1">
        <v>44610</v>
      </c>
      <c r="F610">
        <v>6.2</v>
      </c>
      <c r="G610">
        <v>20000</v>
      </c>
      <c r="H610">
        <v>6.6</v>
      </c>
      <c r="I610">
        <v>415</v>
      </c>
      <c r="J610">
        <v>62</v>
      </c>
      <c r="K610">
        <v>71</v>
      </c>
    </row>
    <row r="611" spans="1:11" x14ac:dyDescent="0.3">
      <c r="A611" t="s">
        <v>1236</v>
      </c>
      <c r="B611" t="s">
        <v>1237</v>
      </c>
      <c r="C611">
        <v>148</v>
      </c>
      <c r="D611" t="s">
        <v>28</v>
      </c>
      <c r="E611" s="1">
        <v>45618</v>
      </c>
      <c r="F611">
        <v>6.5</v>
      </c>
      <c r="G611">
        <v>219000</v>
      </c>
      <c r="H611">
        <v>6.6159999999999997</v>
      </c>
      <c r="I611">
        <v>4324</v>
      </c>
      <c r="J611">
        <v>64</v>
      </c>
      <c r="K611">
        <v>70</v>
      </c>
    </row>
    <row r="612" spans="1:11" x14ac:dyDescent="0.3">
      <c r="A612" t="s">
        <v>1238</v>
      </c>
      <c r="B612" t="s">
        <v>1239</v>
      </c>
      <c r="C612">
        <v>87</v>
      </c>
      <c r="D612" t="s">
        <v>28</v>
      </c>
      <c r="E612" s="1">
        <v>45566</v>
      </c>
      <c r="F612">
        <v>6</v>
      </c>
      <c r="G612">
        <v>3600</v>
      </c>
      <c r="H612">
        <v>5.7</v>
      </c>
      <c r="I612">
        <v>70</v>
      </c>
      <c r="J612">
        <v>52</v>
      </c>
      <c r="K612">
        <v>70</v>
      </c>
    </row>
    <row r="613" spans="1:11" x14ac:dyDescent="0.3">
      <c r="A613" t="s">
        <v>1240</v>
      </c>
      <c r="B613" t="s">
        <v>1241</v>
      </c>
      <c r="C613">
        <v>101</v>
      </c>
      <c r="D613" t="s">
        <v>28</v>
      </c>
      <c r="E613" s="1">
        <v>45442</v>
      </c>
      <c r="F613">
        <v>6.5</v>
      </c>
      <c r="G613">
        <v>4700</v>
      </c>
      <c r="H613">
        <v>6.9130000000000003</v>
      </c>
      <c r="I613">
        <v>109</v>
      </c>
      <c r="J613">
        <v>57</v>
      </c>
      <c r="K613">
        <v>70</v>
      </c>
    </row>
    <row r="614" spans="1:11" x14ac:dyDescent="0.3">
      <c r="A614" t="s">
        <v>1242</v>
      </c>
      <c r="B614" t="s">
        <v>1243</v>
      </c>
      <c r="C614">
        <v>91</v>
      </c>
      <c r="D614" t="s">
        <v>28</v>
      </c>
      <c r="E614" s="1">
        <v>45394</v>
      </c>
      <c r="F614">
        <v>5.7</v>
      </c>
      <c r="G614">
        <v>16000</v>
      </c>
      <c r="H614">
        <v>6.194</v>
      </c>
      <c r="I614">
        <v>499</v>
      </c>
      <c r="J614">
        <v>57</v>
      </c>
      <c r="K614">
        <v>70</v>
      </c>
    </row>
    <row r="615" spans="1:11" x14ac:dyDescent="0.3">
      <c r="A615" t="s">
        <v>1244</v>
      </c>
      <c r="B615" t="s">
        <v>1245</v>
      </c>
      <c r="C615">
        <v>107</v>
      </c>
      <c r="D615" t="s">
        <v>15</v>
      </c>
      <c r="E615" s="1">
        <v>45366</v>
      </c>
      <c r="F615">
        <v>7</v>
      </c>
      <c r="G615">
        <v>34000</v>
      </c>
      <c r="H615">
        <v>7.5</v>
      </c>
      <c r="I615">
        <v>913</v>
      </c>
      <c r="J615">
        <v>54</v>
      </c>
      <c r="K615">
        <v>70</v>
      </c>
    </row>
    <row r="616" spans="1:11" x14ac:dyDescent="0.3">
      <c r="A616" t="s">
        <v>1246</v>
      </c>
      <c r="B616" t="s">
        <v>1247</v>
      </c>
      <c r="C616">
        <v>126</v>
      </c>
      <c r="D616" t="s">
        <v>15</v>
      </c>
      <c r="E616" s="1">
        <v>44939</v>
      </c>
      <c r="F616">
        <v>7.5</v>
      </c>
      <c r="G616">
        <v>190000</v>
      </c>
      <c r="H616">
        <v>7.7510000000000003</v>
      </c>
      <c r="I616">
        <v>3532</v>
      </c>
      <c r="J616">
        <v>51</v>
      </c>
      <c r="K616">
        <v>70</v>
      </c>
    </row>
    <row r="617" spans="1:11" x14ac:dyDescent="0.3">
      <c r="A617" t="s">
        <v>1248</v>
      </c>
      <c r="B617" t="s">
        <v>1249</v>
      </c>
      <c r="C617">
        <v>127</v>
      </c>
      <c r="D617" t="s">
        <v>15</v>
      </c>
      <c r="E617" s="1">
        <v>44883</v>
      </c>
      <c r="F617">
        <v>6.6</v>
      </c>
      <c r="G617">
        <v>55000</v>
      </c>
      <c r="H617">
        <v>6.8520000000000003</v>
      </c>
      <c r="I617">
        <v>746</v>
      </c>
      <c r="J617">
        <v>55</v>
      </c>
      <c r="K617">
        <v>70</v>
      </c>
    </row>
    <row r="618" spans="1:11" x14ac:dyDescent="0.3">
      <c r="A618" t="s">
        <v>1250</v>
      </c>
      <c r="B618" t="s">
        <v>1251</v>
      </c>
      <c r="C618">
        <v>110</v>
      </c>
      <c r="D618" t="s">
        <v>63</v>
      </c>
      <c r="E618" s="1">
        <v>44804</v>
      </c>
      <c r="F618">
        <v>6.2</v>
      </c>
      <c r="G618">
        <v>36000</v>
      </c>
      <c r="H618">
        <v>6.2789999999999999</v>
      </c>
      <c r="I618">
        <v>826</v>
      </c>
      <c r="J618">
        <v>57</v>
      </c>
      <c r="K618">
        <v>70</v>
      </c>
    </row>
    <row r="619" spans="1:11" x14ac:dyDescent="0.3">
      <c r="A619" t="s">
        <v>1252</v>
      </c>
      <c r="B619" t="s">
        <v>1253</v>
      </c>
      <c r="C619">
        <v>113</v>
      </c>
      <c r="D619" t="s">
        <v>28</v>
      </c>
      <c r="E619" s="1">
        <v>44869</v>
      </c>
      <c r="F619">
        <v>5.7</v>
      </c>
      <c r="G619">
        <v>2600</v>
      </c>
      <c r="H619">
        <v>6.7</v>
      </c>
      <c r="I619">
        <v>65</v>
      </c>
      <c r="J619">
        <v>59</v>
      </c>
      <c r="K619">
        <v>69</v>
      </c>
    </row>
    <row r="620" spans="1:11" x14ac:dyDescent="0.3">
      <c r="A620" t="s">
        <v>1254</v>
      </c>
      <c r="B620" t="s">
        <v>1255</v>
      </c>
      <c r="C620">
        <v>107</v>
      </c>
      <c r="D620" t="s">
        <v>28</v>
      </c>
      <c r="E620" s="1">
        <v>44827</v>
      </c>
      <c r="F620">
        <v>6.1</v>
      </c>
      <c r="G620">
        <v>36000</v>
      </c>
      <c r="H620">
        <v>6.5</v>
      </c>
      <c r="I620">
        <v>763</v>
      </c>
      <c r="J620">
        <v>51</v>
      </c>
      <c r="K620">
        <v>69</v>
      </c>
    </row>
    <row r="621" spans="1:11" x14ac:dyDescent="0.3">
      <c r="A621" t="s">
        <v>1256</v>
      </c>
      <c r="B621" t="s">
        <v>1257</v>
      </c>
      <c r="C621">
        <v>99</v>
      </c>
      <c r="D621" t="s">
        <v>28</v>
      </c>
      <c r="E621" s="1">
        <v>44792</v>
      </c>
      <c r="F621">
        <v>5.9</v>
      </c>
      <c r="G621">
        <v>51000</v>
      </c>
      <c r="H621">
        <v>6.6</v>
      </c>
      <c r="I621">
        <v>2284</v>
      </c>
      <c r="J621">
        <v>54</v>
      </c>
      <c r="K621">
        <v>69</v>
      </c>
    </row>
    <row r="622" spans="1:11" x14ac:dyDescent="0.3">
      <c r="A622" t="s">
        <v>1258</v>
      </c>
      <c r="B622" t="s">
        <v>1259</v>
      </c>
      <c r="C622">
        <v>159</v>
      </c>
      <c r="D622" t="s">
        <v>15</v>
      </c>
      <c r="E622" s="1">
        <v>44784</v>
      </c>
      <c r="F622">
        <v>5.6</v>
      </c>
      <c r="G622">
        <v>179000</v>
      </c>
      <c r="H622">
        <v>6.3330000000000002</v>
      </c>
      <c r="I622">
        <v>90</v>
      </c>
      <c r="J622">
        <v>46</v>
      </c>
      <c r="K622">
        <v>69</v>
      </c>
    </row>
    <row r="623" spans="1:11" x14ac:dyDescent="0.3">
      <c r="A623" t="s">
        <v>1260</v>
      </c>
      <c r="B623" t="s">
        <v>1261</v>
      </c>
      <c r="C623">
        <v>87</v>
      </c>
      <c r="D623" t="s">
        <v>12</v>
      </c>
      <c r="E623" s="1">
        <v>44743</v>
      </c>
      <c r="F623">
        <v>6.5</v>
      </c>
      <c r="G623">
        <v>97000</v>
      </c>
      <c r="H623">
        <v>7.2709999999999999</v>
      </c>
      <c r="I623">
        <v>3985</v>
      </c>
      <c r="J623">
        <v>56</v>
      </c>
      <c r="K623">
        <v>69</v>
      </c>
    </row>
    <row r="624" spans="1:11" x14ac:dyDescent="0.3">
      <c r="A624" t="s">
        <v>1262</v>
      </c>
      <c r="B624" t="s">
        <v>1263</v>
      </c>
      <c r="C624">
        <v>100</v>
      </c>
      <c r="D624" t="s">
        <v>28</v>
      </c>
      <c r="E624" s="1">
        <v>44701</v>
      </c>
      <c r="F624">
        <v>6</v>
      </c>
      <c r="G624">
        <v>73000</v>
      </c>
      <c r="H624">
        <v>6.08</v>
      </c>
      <c r="I624">
        <v>1327</v>
      </c>
      <c r="J624">
        <v>65</v>
      </c>
      <c r="K624">
        <v>69</v>
      </c>
    </row>
    <row r="625" spans="1:11" x14ac:dyDescent="0.3">
      <c r="A625" t="s">
        <v>1264</v>
      </c>
      <c r="B625" t="s">
        <v>1265</v>
      </c>
      <c r="C625">
        <v>122</v>
      </c>
      <c r="D625" t="s">
        <v>12</v>
      </c>
      <c r="E625" s="1">
        <v>44659</v>
      </c>
      <c r="F625">
        <v>6.5</v>
      </c>
      <c r="G625">
        <v>105000</v>
      </c>
      <c r="H625">
        <v>7.4</v>
      </c>
      <c r="I625">
        <v>5818</v>
      </c>
      <c r="J625">
        <v>47</v>
      </c>
      <c r="K625">
        <v>69</v>
      </c>
    </row>
    <row r="626" spans="1:11" x14ac:dyDescent="0.3">
      <c r="A626" t="s">
        <v>1266</v>
      </c>
      <c r="B626" t="s">
        <v>1267</v>
      </c>
      <c r="C626">
        <v>117</v>
      </c>
      <c r="D626" t="s">
        <v>28</v>
      </c>
      <c r="E626" s="1">
        <v>45548</v>
      </c>
      <c r="F626">
        <v>6.9</v>
      </c>
      <c r="G626">
        <v>24000</v>
      </c>
      <c r="H626">
        <v>7.0209999999999999</v>
      </c>
      <c r="I626">
        <v>595</v>
      </c>
      <c r="J626">
        <v>62</v>
      </c>
      <c r="K626">
        <v>68</v>
      </c>
    </row>
    <row r="627" spans="1:11" x14ac:dyDescent="0.3">
      <c r="A627" t="s">
        <v>1268</v>
      </c>
      <c r="B627" t="s">
        <v>1269</v>
      </c>
      <c r="C627">
        <v>96</v>
      </c>
      <c r="D627" t="s">
        <v>28</v>
      </c>
      <c r="E627" s="1">
        <v>45520</v>
      </c>
      <c r="F627">
        <v>5.7</v>
      </c>
      <c r="G627">
        <v>4300</v>
      </c>
      <c r="H627">
        <v>6</v>
      </c>
      <c r="I627">
        <v>113</v>
      </c>
      <c r="J627">
        <v>61</v>
      </c>
      <c r="K627">
        <v>68</v>
      </c>
    </row>
    <row r="628" spans="1:11" x14ac:dyDescent="0.3">
      <c r="A628" t="s">
        <v>1270</v>
      </c>
      <c r="B628" t="s">
        <v>1271</v>
      </c>
      <c r="C628">
        <v>122</v>
      </c>
      <c r="D628" t="s">
        <v>28</v>
      </c>
      <c r="E628" s="1">
        <v>45401</v>
      </c>
      <c r="F628">
        <v>6.8</v>
      </c>
      <c r="G628">
        <v>132000</v>
      </c>
      <c r="H628">
        <v>7.016</v>
      </c>
      <c r="I628">
        <v>1833</v>
      </c>
      <c r="J628">
        <v>55</v>
      </c>
      <c r="K628">
        <v>68</v>
      </c>
    </row>
    <row r="629" spans="1:11" x14ac:dyDescent="0.3">
      <c r="A629" t="s">
        <v>1272</v>
      </c>
      <c r="B629" t="s">
        <v>1273</v>
      </c>
      <c r="C629">
        <v>112</v>
      </c>
      <c r="D629" t="s">
        <v>15</v>
      </c>
      <c r="E629" s="1">
        <v>45303</v>
      </c>
      <c r="F629">
        <v>5.5</v>
      </c>
      <c r="G629">
        <v>37000</v>
      </c>
      <c r="H629">
        <v>5.9</v>
      </c>
      <c r="I629">
        <v>710</v>
      </c>
      <c r="J629">
        <v>58</v>
      </c>
      <c r="K629">
        <v>68</v>
      </c>
    </row>
    <row r="630" spans="1:11" x14ac:dyDescent="0.3">
      <c r="A630" t="s">
        <v>1274</v>
      </c>
      <c r="B630" t="s">
        <v>1275</v>
      </c>
      <c r="C630">
        <v>86</v>
      </c>
      <c r="D630" t="s">
        <v>28</v>
      </c>
      <c r="E630" s="1">
        <v>45219</v>
      </c>
      <c r="F630">
        <v>5.3</v>
      </c>
      <c r="G630">
        <v>3800</v>
      </c>
      <c r="H630">
        <v>4.3</v>
      </c>
      <c r="I630">
        <v>54</v>
      </c>
      <c r="J630">
        <v>57</v>
      </c>
      <c r="K630">
        <v>68</v>
      </c>
    </row>
    <row r="631" spans="1:11" x14ac:dyDescent="0.3">
      <c r="A631" t="s">
        <v>1276</v>
      </c>
      <c r="B631" t="s">
        <v>1277</v>
      </c>
      <c r="C631">
        <v>90</v>
      </c>
      <c r="D631" t="s">
        <v>15</v>
      </c>
      <c r="E631" s="1">
        <v>45121</v>
      </c>
      <c r="F631">
        <v>6.4</v>
      </c>
      <c r="G631">
        <v>7200</v>
      </c>
      <c r="H631">
        <v>6.3159999999999998</v>
      </c>
      <c r="I631">
        <v>147</v>
      </c>
      <c r="J631">
        <v>49</v>
      </c>
      <c r="K631">
        <v>68</v>
      </c>
    </row>
    <row r="632" spans="1:11" x14ac:dyDescent="0.3">
      <c r="A632" t="s">
        <v>1278</v>
      </c>
      <c r="B632" t="s">
        <v>1279</v>
      </c>
      <c r="C632">
        <v>116</v>
      </c>
      <c r="D632" t="s">
        <v>28</v>
      </c>
      <c r="E632" s="1">
        <v>44974</v>
      </c>
      <c r="F632">
        <v>6.7</v>
      </c>
      <c r="G632">
        <v>35000</v>
      </c>
      <c r="H632">
        <v>6.8529999999999998</v>
      </c>
      <c r="I632">
        <v>668</v>
      </c>
      <c r="J632">
        <v>65</v>
      </c>
      <c r="K632">
        <v>68</v>
      </c>
    </row>
    <row r="633" spans="1:11" x14ac:dyDescent="0.3">
      <c r="A633" t="s">
        <v>1280</v>
      </c>
      <c r="B633" t="s">
        <v>1281</v>
      </c>
      <c r="C633">
        <v>131</v>
      </c>
      <c r="D633" t="s">
        <v>18</v>
      </c>
      <c r="E633" s="1">
        <v>44897</v>
      </c>
      <c r="F633">
        <v>6.7</v>
      </c>
      <c r="G633">
        <v>6400</v>
      </c>
      <c r="H633">
        <v>6.8</v>
      </c>
      <c r="I633">
        <v>211</v>
      </c>
      <c r="J633">
        <v>55</v>
      </c>
      <c r="K633">
        <v>68</v>
      </c>
    </row>
    <row r="634" spans="1:11" x14ac:dyDescent="0.3">
      <c r="A634" t="s">
        <v>1282</v>
      </c>
      <c r="B634" t="s">
        <v>1283</v>
      </c>
      <c r="C634">
        <v>117</v>
      </c>
      <c r="D634" t="s">
        <v>28</v>
      </c>
      <c r="E634" s="1">
        <v>44806</v>
      </c>
      <c r="F634">
        <v>6.1</v>
      </c>
      <c r="G634">
        <v>11000</v>
      </c>
      <c r="H634">
        <v>5.7169999999999996</v>
      </c>
      <c r="I634">
        <v>254</v>
      </c>
      <c r="J634">
        <v>59</v>
      </c>
      <c r="K634">
        <v>68</v>
      </c>
    </row>
    <row r="635" spans="1:11" x14ac:dyDescent="0.3">
      <c r="A635" t="s">
        <v>1284</v>
      </c>
      <c r="B635" t="s">
        <v>1285</v>
      </c>
      <c r="C635">
        <v>93</v>
      </c>
      <c r="D635" t="s">
        <v>28</v>
      </c>
      <c r="E635" s="1">
        <v>44792</v>
      </c>
      <c r="F635">
        <v>5.6</v>
      </c>
      <c r="G635">
        <v>46000</v>
      </c>
      <c r="H635">
        <v>6.5460000000000003</v>
      </c>
      <c r="I635">
        <v>1726</v>
      </c>
      <c r="J635">
        <v>54</v>
      </c>
      <c r="K635">
        <v>68</v>
      </c>
    </row>
    <row r="636" spans="1:11" x14ac:dyDescent="0.3">
      <c r="A636" t="s">
        <v>1286</v>
      </c>
      <c r="B636" t="s">
        <v>1287</v>
      </c>
      <c r="C636">
        <v>136</v>
      </c>
      <c r="D636" t="s">
        <v>28</v>
      </c>
      <c r="E636" s="1">
        <v>44659</v>
      </c>
      <c r="F636">
        <v>6.1</v>
      </c>
      <c r="G636">
        <v>107000</v>
      </c>
      <c r="H636">
        <v>6.6159999999999997</v>
      </c>
      <c r="I636">
        <v>2407</v>
      </c>
      <c r="J636">
        <v>55</v>
      </c>
      <c r="K636">
        <v>68</v>
      </c>
    </row>
    <row r="637" spans="1:11" x14ac:dyDescent="0.3">
      <c r="A637" t="s">
        <v>1288</v>
      </c>
      <c r="B637" t="s">
        <v>1289</v>
      </c>
      <c r="C637">
        <v>106</v>
      </c>
      <c r="D637" t="s">
        <v>15</v>
      </c>
      <c r="E637" s="1">
        <v>44631</v>
      </c>
      <c r="F637">
        <v>6.7</v>
      </c>
      <c r="G637">
        <v>245000</v>
      </c>
      <c r="H637">
        <v>6.9909999999999997</v>
      </c>
      <c r="I637">
        <v>4868</v>
      </c>
      <c r="J637">
        <v>55</v>
      </c>
      <c r="K637">
        <v>68</v>
      </c>
    </row>
    <row r="638" spans="1:11" x14ac:dyDescent="0.3">
      <c r="A638" t="s">
        <v>1290</v>
      </c>
      <c r="B638" t="s">
        <v>1291</v>
      </c>
      <c r="C638">
        <v>100</v>
      </c>
      <c r="D638" t="s">
        <v>28</v>
      </c>
      <c r="E638" s="1">
        <v>45527</v>
      </c>
      <c r="F638">
        <v>5.0999999999999996</v>
      </c>
      <c r="G638">
        <v>1200</v>
      </c>
      <c r="H638">
        <v>5.7649999999999997</v>
      </c>
      <c r="I638">
        <v>17</v>
      </c>
      <c r="J638">
        <v>55</v>
      </c>
      <c r="K638">
        <v>67</v>
      </c>
    </row>
    <row r="639" spans="1:11" x14ac:dyDescent="0.3">
      <c r="A639" t="s">
        <v>1292</v>
      </c>
      <c r="B639" t="s">
        <v>1293</v>
      </c>
      <c r="C639">
        <v>133</v>
      </c>
      <c r="D639" t="s">
        <v>15</v>
      </c>
      <c r="E639" s="1">
        <v>45198</v>
      </c>
      <c r="F639">
        <v>6.7</v>
      </c>
      <c r="G639">
        <v>184000</v>
      </c>
      <c r="H639">
        <v>7.0060000000000002</v>
      </c>
      <c r="I639">
        <v>3758</v>
      </c>
      <c r="J639">
        <v>63</v>
      </c>
      <c r="K639">
        <v>67</v>
      </c>
    </row>
    <row r="640" spans="1:11" x14ac:dyDescent="0.3">
      <c r="A640" t="s">
        <v>1294</v>
      </c>
      <c r="B640" t="s">
        <v>1295</v>
      </c>
      <c r="C640">
        <v>135</v>
      </c>
      <c r="D640" t="s">
        <v>12</v>
      </c>
      <c r="E640" s="1">
        <v>45072</v>
      </c>
      <c r="F640">
        <v>7.2</v>
      </c>
      <c r="G640">
        <v>167000</v>
      </c>
      <c r="H640">
        <v>6.3</v>
      </c>
      <c r="I640">
        <v>3281</v>
      </c>
      <c r="J640">
        <v>59</v>
      </c>
      <c r="K640">
        <v>67</v>
      </c>
    </row>
    <row r="641" spans="1:11" x14ac:dyDescent="0.3">
      <c r="A641" t="s">
        <v>1296</v>
      </c>
      <c r="B641" t="s">
        <v>1297</v>
      </c>
      <c r="C641">
        <v>179</v>
      </c>
      <c r="D641" t="s">
        <v>28</v>
      </c>
      <c r="E641" s="1">
        <v>45037</v>
      </c>
      <c r="F641">
        <v>6.7</v>
      </c>
      <c r="G641">
        <v>71000</v>
      </c>
      <c r="H641">
        <v>6.7050000000000001</v>
      </c>
      <c r="I641">
        <v>1294</v>
      </c>
      <c r="J641">
        <v>63</v>
      </c>
      <c r="K641">
        <v>67</v>
      </c>
    </row>
    <row r="642" spans="1:11" x14ac:dyDescent="0.3">
      <c r="A642" t="s">
        <v>1298</v>
      </c>
      <c r="B642" t="s">
        <v>1299</v>
      </c>
      <c r="C642">
        <v>112</v>
      </c>
      <c r="D642" t="s">
        <v>28</v>
      </c>
      <c r="E642" s="1">
        <v>45002</v>
      </c>
      <c r="F642">
        <v>6.5</v>
      </c>
      <c r="G642">
        <v>38000</v>
      </c>
      <c r="H642">
        <v>6.65</v>
      </c>
      <c r="I642">
        <v>826</v>
      </c>
      <c r="J642">
        <v>58</v>
      </c>
      <c r="K642">
        <v>67</v>
      </c>
    </row>
    <row r="643" spans="1:11" x14ac:dyDescent="0.3">
      <c r="A643" t="s">
        <v>1300</v>
      </c>
      <c r="B643" t="s">
        <v>1301</v>
      </c>
      <c r="C643">
        <v>104</v>
      </c>
      <c r="D643" t="s">
        <v>28</v>
      </c>
      <c r="E643" s="1">
        <v>44999</v>
      </c>
      <c r="F643">
        <v>5.4</v>
      </c>
      <c r="G643">
        <v>7100</v>
      </c>
      <c r="H643">
        <v>5.8</v>
      </c>
      <c r="I643">
        <v>181</v>
      </c>
      <c r="J643">
        <v>64</v>
      </c>
      <c r="K643">
        <v>67</v>
      </c>
    </row>
    <row r="644" spans="1:11" x14ac:dyDescent="0.3">
      <c r="A644" t="s">
        <v>1302</v>
      </c>
      <c r="B644" t="s">
        <v>1303</v>
      </c>
      <c r="C644">
        <v>129</v>
      </c>
      <c r="D644" t="s">
        <v>28</v>
      </c>
      <c r="E644" s="1">
        <v>44995</v>
      </c>
      <c r="F644">
        <v>6.4</v>
      </c>
      <c r="G644">
        <v>69000</v>
      </c>
      <c r="H644">
        <v>6.6310000000000002</v>
      </c>
      <c r="I644">
        <v>1078</v>
      </c>
      <c r="J644">
        <v>53</v>
      </c>
      <c r="K644">
        <v>67</v>
      </c>
    </row>
    <row r="645" spans="1:11" x14ac:dyDescent="0.3">
      <c r="A645" t="s">
        <v>1304</v>
      </c>
      <c r="B645" t="s">
        <v>1305</v>
      </c>
      <c r="C645">
        <v>100</v>
      </c>
      <c r="D645" t="s">
        <v>28</v>
      </c>
      <c r="E645" s="1">
        <v>44960</v>
      </c>
      <c r="F645">
        <v>6.1</v>
      </c>
      <c r="G645">
        <v>133000</v>
      </c>
      <c r="H645">
        <v>6.2480000000000002</v>
      </c>
      <c r="I645">
        <v>3051</v>
      </c>
      <c r="J645">
        <v>63</v>
      </c>
      <c r="K645">
        <v>67</v>
      </c>
    </row>
    <row r="646" spans="1:11" x14ac:dyDescent="0.3">
      <c r="A646" t="s">
        <v>1306</v>
      </c>
      <c r="B646" t="s">
        <v>1307</v>
      </c>
      <c r="C646">
        <v>96</v>
      </c>
      <c r="D646" t="s">
        <v>15</v>
      </c>
      <c r="E646" s="1">
        <v>44729</v>
      </c>
      <c r="F646">
        <v>6.9</v>
      </c>
      <c r="G646">
        <v>30000</v>
      </c>
      <c r="H646">
        <v>7.3789999999999996</v>
      </c>
      <c r="I646">
        <v>451</v>
      </c>
      <c r="J646">
        <v>52</v>
      </c>
      <c r="K646">
        <v>67</v>
      </c>
    </row>
    <row r="647" spans="1:11" x14ac:dyDescent="0.3">
      <c r="A647" t="s">
        <v>1308</v>
      </c>
      <c r="B647" t="s">
        <v>1309</v>
      </c>
      <c r="C647">
        <v>133</v>
      </c>
      <c r="D647" t="s">
        <v>15</v>
      </c>
      <c r="E647" s="1">
        <v>45618</v>
      </c>
      <c r="F647">
        <v>6.3</v>
      </c>
      <c r="G647">
        <v>3400</v>
      </c>
      <c r="H647">
        <v>6.7080000000000002</v>
      </c>
      <c r="I647">
        <v>77</v>
      </c>
      <c r="J647">
        <v>43</v>
      </c>
      <c r="K647">
        <v>66</v>
      </c>
    </row>
    <row r="648" spans="1:11" x14ac:dyDescent="0.3">
      <c r="A648" t="s">
        <v>1310</v>
      </c>
      <c r="B648" t="s">
        <v>1311</v>
      </c>
      <c r="C648">
        <v>108</v>
      </c>
      <c r="D648" t="s">
        <v>28</v>
      </c>
      <c r="E648" s="1">
        <v>45562</v>
      </c>
      <c r="F648">
        <v>6.5</v>
      </c>
      <c r="G648">
        <v>80000</v>
      </c>
      <c r="H648">
        <v>6.5350000000000001</v>
      </c>
      <c r="I648">
        <v>1391</v>
      </c>
      <c r="J648">
        <v>60</v>
      </c>
      <c r="K648">
        <v>66</v>
      </c>
    </row>
    <row r="649" spans="1:11" x14ac:dyDescent="0.3">
      <c r="A649" t="s">
        <v>1312</v>
      </c>
      <c r="B649" t="s">
        <v>1313</v>
      </c>
      <c r="C649">
        <v>132</v>
      </c>
      <c r="D649" t="s">
        <v>15</v>
      </c>
      <c r="E649" s="1">
        <v>45485</v>
      </c>
      <c r="F649">
        <v>6.6</v>
      </c>
      <c r="G649">
        <v>48000</v>
      </c>
      <c r="H649">
        <v>6.8029999999999999</v>
      </c>
      <c r="I649">
        <v>1125</v>
      </c>
      <c r="J649">
        <v>53</v>
      </c>
      <c r="K649">
        <v>66</v>
      </c>
    </row>
    <row r="650" spans="1:11" x14ac:dyDescent="0.3">
      <c r="A650" t="s">
        <v>1314</v>
      </c>
      <c r="B650" t="s">
        <v>1315</v>
      </c>
      <c r="C650">
        <v>114</v>
      </c>
      <c r="D650" t="s">
        <v>28</v>
      </c>
      <c r="E650" s="1">
        <v>45366</v>
      </c>
      <c r="F650">
        <v>7</v>
      </c>
      <c r="G650">
        <v>26000</v>
      </c>
      <c r="H650">
        <v>7</v>
      </c>
      <c r="I650">
        <v>483</v>
      </c>
      <c r="J650">
        <v>54</v>
      </c>
      <c r="K650">
        <v>66</v>
      </c>
    </row>
    <row r="651" spans="1:11" x14ac:dyDescent="0.3">
      <c r="A651" t="s">
        <v>1316</v>
      </c>
      <c r="B651" t="s">
        <v>1317</v>
      </c>
      <c r="C651">
        <v>113</v>
      </c>
      <c r="D651" t="s">
        <v>28</v>
      </c>
      <c r="E651" s="1">
        <v>45338</v>
      </c>
      <c r="F651">
        <v>6.6</v>
      </c>
      <c r="G651">
        <v>50000</v>
      </c>
      <c r="H651">
        <v>7.2530000000000001</v>
      </c>
      <c r="I651">
        <v>1445</v>
      </c>
      <c r="J651">
        <v>57</v>
      </c>
      <c r="K651">
        <v>66</v>
      </c>
    </row>
    <row r="652" spans="1:11" x14ac:dyDescent="0.3">
      <c r="A652" t="s">
        <v>1318</v>
      </c>
      <c r="B652" t="s">
        <v>1319</v>
      </c>
      <c r="C652">
        <v>120</v>
      </c>
      <c r="D652" t="s">
        <v>28</v>
      </c>
      <c r="E652" s="1">
        <v>45330</v>
      </c>
      <c r="F652">
        <v>5.9</v>
      </c>
      <c r="G652">
        <v>6800</v>
      </c>
      <c r="H652">
        <v>6.2960000000000003</v>
      </c>
      <c r="I652">
        <v>260</v>
      </c>
      <c r="J652">
        <v>58</v>
      </c>
      <c r="K652">
        <v>66</v>
      </c>
    </row>
    <row r="653" spans="1:11" x14ac:dyDescent="0.3">
      <c r="A653" t="s">
        <v>1320</v>
      </c>
      <c r="B653" t="s">
        <v>1321</v>
      </c>
      <c r="C653">
        <v>130</v>
      </c>
      <c r="D653" t="s">
        <v>15</v>
      </c>
      <c r="E653" s="1">
        <v>45184</v>
      </c>
      <c r="F653">
        <v>5.6</v>
      </c>
      <c r="G653">
        <v>1800</v>
      </c>
      <c r="H653">
        <v>5.4</v>
      </c>
      <c r="I653">
        <v>35</v>
      </c>
      <c r="J653">
        <v>54</v>
      </c>
      <c r="K653">
        <v>66</v>
      </c>
    </row>
    <row r="654" spans="1:11" x14ac:dyDescent="0.3">
      <c r="A654" t="s">
        <v>1322</v>
      </c>
      <c r="B654" t="s">
        <v>1323</v>
      </c>
      <c r="C654">
        <v>105</v>
      </c>
      <c r="D654" t="s">
        <v>28</v>
      </c>
      <c r="E654" s="1">
        <v>45068</v>
      </c>
      <c r="F654">
        <v>6.1</v>
      </c>
      <c r="G654">
        <v>3100</v>
      </c>
      <c r="H654">
        <v>6.5</v>
      </c>
      <c r="I654">
        <v>82</v>
      </c>
      <c r="J654">
        <v>52</v>
      </c>
      <c r="K654">
        <v>66</v>
      </c>
    </row>
    <row r="655" spans="1:11" x14ac:dyDescent="0.3">
      <c r="A655" t="s">
        <v>1324</v>
      </c>
      <c r="B655" t="s">
        <v>1325</v>
      </c>
      <c r="C655">
        <v>115</v>
      </c>
      <c r="D655" t="s">
        <v>28</v>
      </c>
      <c r="E655" s="1">
        <v>45450</v>
      </c>
      <c r="F655">
        <v>6.5</v>
      </c>
      <c r="G655">
        <v>98000</v>
      </c>
      <c r="H655">
        <v>7.3</v>
      </c>
      <c r="I655">
        <v>3278</v>
      </c>
      <c r="J655">
        <v>54</v>
      </c>
      <c r="K655">
        <v>65</v>
      </c>
    </row>
    <row r="656" spans="1:11" x14ac:dyDescent="0.3">
      <c r="A656" t="s">
        <v>1326</v>
      </c>
      <c r="B656" t="s">
        <v>1327</v>
      </c>
      <c r="C656">
        <v>129</v>
      </c>
      <c r="D656" t="s">
        <v>15</v>
      </c>
      <c r="E656" s="1">
        <v>45303</v>
      </c>
      <c r="F656">
        <v>5.7</v>
      </c>
      <c r="G656">
        <v>7200</v>
      </c>
      <c r="H656">
        <v>5.8710000000000004</v>
      </c>
      <c r="I656">
        <v>132</v>
      </c>
      <c r="J656">
        <v>57</v>
      </c>
      <c r="K656">
        <v>65</v>
      </c>
    </row>
    <row r="657" spans="1:11" x14ac:dyDescent="0.3">
      <c r="A657" t="s">
        <v>1328</v>
      </c>
      <c r="B657" t="s">
        <v>1329</v>
      </c>
      <c r="C657">
        <v>91</v>
      </c>
      <c r="D657" t="s">
        <v>12</v>
      </c>
      <c r="E657" s="1">
        <v>45107</v>
      </c>
      <c r="F657">
        <v>5.7</v>
      </c>
      <c r="G657">
        <v>13000</v>
      </c>
      <c r="H657">
        <v>7.1669999999999998</v>
      </c>
      <c r="I657">
        <v>1097</v>
      </c>
      <c r="J657">
        <v>50</v>
      </c>
      <c r="K657">
        <v>65</v>
      </c>
    </row>
    <row r="658" spans="1:11" x14ac:dyDescent="0.3">
      <c r="A658" t="s">
        <v>1330</v>
      </c>
      <c r="B658" t="s">
        <v>1331</v>
      </c>
      <c r="C658">
        <v>95</v>
      </c>
      <c r="D658" t="s">
        <v>28</v>
      </c>
      <c r="E658" s="1">
        <v>44981</v>
      </c>
      <c r="F658">
        <v>5.9</v>
      </c>
      <c r="G658">
        <v>119000</v>
      </c>
      <c r="H658">
        <v>5.9980000000000002</v>
      </c>
      <c r="I658">
        <v>2408</v>
      </c>
      <c r="J658">
        <v>54</v>
      </c>
      <c r="K658">
        <v>65</v>
      </c>
    </row>
    <row r="659" spans="1:11" x14ac:dyDescent="0.3">
      <c r="A659" t="s">
        <v>1332</v>
      </c>
      <c r="B659" t="s">
        <v>1333</v>
      </c>
      <c r="C659">
        <v>103</v>
      </c>
      <c r="D659" t="s">
        <v>12</v>
      </c>
      <c r="E659" s="1">
        <v>44834</v>
      </c>
      <c r="F659">
        <v>6</v>
      </c>
      <c r="G659">
        <v>56000</v>
      </c>
      <c r="H659">
        <v>7.1539999999999999</v>
      </c>
      <c r="I659">
        <v>1810</v>
      </c>
      <c r="J659">
        <v>56</v>
      </c>
      <c r="K659">
        <v>65</v>
      </c>
    </row>
    <row r="660" spans="1:11" x14ac:dyDescent="0.3">
      <c r="A660" t="s">
        <v>1334</v>
      </c>
      <c r="B660" t="s">
        <v>1335</v>
      </c>
      <c r="C660">
        <v>97</v>
      </c>
      <c r="D660" t="s">
        <v>28</v>
      </c>
      <c r="E660" s="1">
        <v>44638</v>
      </c>
      <c r="F660">
        <v>5.4</v>
      </c>
      <c r="G660">
        <v>13000</v>
      </c>
      <c r="H660">
        <v>6.1859999999999999</v>
      </c>
      <c r="I660">
        <v>648</v>
      </c>
      <c r="J660">
        <v>48</v>
      </c>
      <c r="K660">
        <v>65</v>
      </c>
    </row>
    <row r="661" spans="1:11" x14ac:dyDescent="0.3">
      <c r="A661" t="s">
        <v>1336</v>
      </c>
      <c r="B661" t="s">
        <v>1337</v>
      </c>
      <c r="C661">
        <v>86</v>
      </c>
      <c r="D661" t="s">
        <v>28</v>
      </c>
      <c r="E661" s="1">
        <v>45540</v>
      </c>
      <c r="F661">
        <v>4.7</v>
      </c>
      <c r="G661">
        <v>1400</v>
      </c>
      <c r="H661">
        <v>5.5</v>
      </c>
      <c r="I661">
        <v>54</v>
      </c>
      <c r="J661">
        <v>68</v>
      </c>
      <c r="K661">
        <v>64</v>
      </c>
    </row>
    <row r="662" spans="1:11" x14ac:dyDescent="0.3">
      <c r="A662" t="s">
        <v>1338</v>
      </c>
      <c r="B662" t="s">
        <v>1339</v>
      </c>
      <c r="C662">
        <v>104</v>
      </c>
      <c r="D662" t="s">
        <v>63</v>
      </c>
      <c r="E662" s="1">
        <v>45448</v>
      </c>
      <c r="F662">
        <v>5.2</v>
      </c>
      <c r="G662">
        <v>36000</v>
      </c>
      <c r="H662">
        <v>5.9130000000000003</v>
      </c>
      <c r="I662">
        <v>1391</v>
      </c>
      <c r="J662">
        <v>57</v>
      </c>
      <c r="K662">
        <v>64</v>
      </c>
    </row>
    <row r="663" spans="1:11" x14ac:dyDescent="0.3">
      <c r="A663" t="s">
        <v>1340</v>
      </c>
      <c r="B663" t="s">
        <v>1341</v>
      </c>
      <c r="C663">
        <v>84</v>
      </c>
      <c r="D663" t="s">
        <v>28</v>
      </c>
      <c r="E663" s="1">
        <v>45345</v>
      </c>
      <c r="F663">
        <v>5.4</v>
      </c>
      <c r="G663">
        <v>23000</v>
      </c>
      <c r="H663">
        <v>5.5129999999999999</v>
      </c>
      <c r="I663">
        <v>561</v>
      </c>
      <c r="J663">
        <v>56</v>
      </c>
      <c r="K663">
        <v>64</v>
      </c>
    </row>
    <row r="664" spans="1:11" x14ac:dyDescent="0.3">
      <c r="A664" t="s">
        <v>1342</v>
      </c>
      <c r="B664" t="s">
        <v>1343</v>
      </c>
      <c r="C664">
        <v>91</v>
      </c>
      <c r="D664" t="s">
        <v>12</v>
      </c>
      <c r="E664" s="1">
        <v>45247</v>
      </c>
      <c r="F664">
        <v>6</v>
      </c>
      <c r="G664">
        <v>18000</v>
      </c>
      <c r="H664">
        <v>7.2</v>
      </c>
      <c r="I664">
        <v>972</v>
      </c>
      <c r="J664">
        <v>53</v>
      </c>
      <c r="K664">
        <v>64</v>
      </c>
    </row>
    <row r="665" spans="1:11" x14ac:dyDescent="0.3">
      <c r="A665" t="s">
        <v>1344</v>
      </c>
      <c r="B665" t="s">
        <v>1345</v>
      </c>
      <c r="C665">
        <v>157</v>
      </c>
      <c r="D665" t="s">
        <v>15</v>
      </c>
      <c r="E665" s="1">
        <v>45247</v>
      </c>
      <c r="F665">
        <v>6.7</v>
      </c>
      <c r="G665">
        <v>155000</v>
      </c>
      <c r="H665">
        <v>6.9859999999999998</v>
      </c>
      <c r="I665">
        <v>3456</v>
      </c>
      <c r="J665">
        <v>54</v>
      </c>
      <c r="K665">
        <v>64</v>
      </c>
    </row>
    <row r="666" spans="1:11" x14ac:dyDescent="0.3">
      <c r="A666" t="s">
        <v>1346</v>
      </c>
      <c r="B666" t="s">
        <v>1347</v>
      </c>
      <c r="C666">
        <v>99</v>
      </c>
      <c r="D666" t="s">
        <v>15</v>
      </c>
      <c r="E666" s="1">
        <v>45191</v>
      </c>
      <c r="F666">
        <v>5.2</v>
      </c>
      <c r="G666">
        <v>8500</v>
      </c>
      <c r="H666">
        <v>5.6829999999999998</v>
      </c>
      <c r="I666">
        <v>282</v>
      </c>
      <c r="J666">
        <v>50</v>
      </c>
      <c r="K666">
        <v>64</v>
      </c>
    </row>
    <row r="667" spans="1:11" x14ac:dyDescent="0.3">
      <c r="A667" t="s">
        <v>1348</v>
      </c>
      <c r="B667" t="s">
        <v>1349</v>
      </c>
      <c r="C667">
        <v>136</v>
      </c>
      <c r="D667" t="s">
        <v>28</v>
      </c>
      <c r="E667" s="1">
        <v>44925</v>
      </c>
      <c r="F667">
        <v>5.7</v>
      </c>
      <c r="G667">
        <v>46000</v>
      </c>
      <c r="H667">
        <v>5.5819999999999999</v>
      </c>
      <c r="I667">
        <v>794</v>
      </c>
      <c r="J667">
        <v>66</v>
      </c>
      <c r="K667">
        <v>64</v>
      </c>
    </row>
    <row r="668" spans="1:11" x14ac:dyDescent="0.3">
      <c r="A668" t="s">
        <v>1350</v>
      </c>
      <c r="B668" t="s">
        <v>1351</v>
      </c>
      <c r="C668">
        <v>117</v>
      </c>
      <c r="D668" t="s">
        <v>28</v>
      </c>
      <c r="E668" s="1">
        <v>44916</v>
      </c>
      <c r="F668">
        <v>7.6</v>
      </c>
      <c r="G668">
        <v>243000</v>
      </c>
      <c r="H668">
        <v>7.7750000000000004</v>
      </c>
      <c r="I668">
        <v>4615</v>
      </c>
      <c r="J668">
        <v>60</v>
      </c>
      <c r="K668">
        <v>64</v>
      </c>
    </row>
    <row r="669" spans="1:11" x14ac:dyDescent="0.3">
      <c r="A669" t="s">
        <v>1352</v>
      </c>
      <c r="B669" t="s">
        <v>1353</v>
      </c>
      <c r="C669">
        <v>95</v>
      </c>
      <c r="D669" t="s">
        <v>28</v>
      </c>
      <c r="E669" s="1">
        <v>45737</v>
      </c>
      <c r="F669">
        <v>6.4</v>
      </c>
      <c r="G669">
        <v>772</v>
      </c>
      <c r="H669">
        <v>6.1859999999999999</v>
      </c>
      <c r="I669">
        <v>519</v>
      </c>
      <c r="J669">
        <v>45</v>
      </c>
      <c r="K669">
        <v>63</v>
      </c>
    </row>
    <row r="670" spans="1:11" x14ac:dyDescent="0.3">
      <c r="A670" t="s">
        <v>1354</v>
      </c>
      <c r="B670" t="s">
        <v>1355</v>
      </c>
      <c r="C670">
        <v>118</v>
      </c>
      <c r="D670" t="s">
        <v>28</v>
      </c>
      <c r="E670" s="1">
        <v>45476</v>
      </c>
      <c r="F670">
        <v>6.4</v>
      </c>
      <c r="G670">
        <v>81000</v>
      </c>
      <c r="H670">
        <v>6.6550000000000002</v>
      </c>
      <c r="I670">
        <v>1402</v>
      </c>
      <c r="J670">
        <v>53</v>
      </c>
      <c r="K670">
        <v>63</v>
      </c>
    </row>
    <row r="671" spans="1:11" x14ac:dyDescent="0.3">
      <c r="A671" t="s">
        <v>1356</v>
      </c>
      <c r="B671" t="s">
        <v>1357</v>
      </c>
      <c r="C671">
        <v>105</v>
      </c>
      <c r="D671" t="s">
        <v>15</v>
      </c>
      <c r="E671" s="1">
        <v>45240</v>
      </c>
      <c r="F671">
        <v>5.5</v>
      </c>
      <c r="G671">
        <v>146000</v>
      </c>
      <c r="H671">
        <v>5.9409999999999998</v>
      </c>
      <c r="I671">
        <v>3306</v>
      </c>
      <c r="J671">
        <v>50</v>
      </c>
      <c r="K671">
        <v>63</v>
      </c>
    </row>
    <row r="672" spans="1:11" x14ac:dyDescent="0.3">
      <c r="A672" t="s">
        <v>1358</v>
      </c>
      <c r="B672" t="s">
        <v>1359</v>
      </c>
      <c r="C672">
        <v>144</v>
      </c>
      <c r="D672" t="s">
        <v>15</v>
      </c>
      <c r="E672" s="1">
        <v>45093</v>
      </c>
      <c r="F672">
        <v>6.6</v>
      </c>
      <c r="G672">
        <v>231000</v>
      </c>
      <c r="H672">
        <v>6.617</v>
      </c>
      <c r="I672">
        <v>4925</v>
      </c>
      <c r="J672">
        <v>55</v>
      </c>
      <c r="K672">
        <v>63</v>
      </c>
    </row>
    <row r="673" spans="1:11" x14ac:dyDescent="0.3">
      <c r="A673" t="s">
        <v>1360</v>
      </c>
      <c r="B673" t="s">
        <v>1361</v>
      </c>
      <c r="C673">
        <v>106</v>
      </c>
      <c r="D673" t="s">
        <v>12</v>
      </c>
      <c r="E673" s="1">
        <v>45044</v>
      </c>
      <c r="F673">
        <v>4.4000000000000004</v>
      </c>
      <c r="G673">
        <v>29000</v>
      </c>
      <c r="H673">
        <v>5.4279999999999999</v>
      </c>
      <c r="I673">
        <v>758</v>
      </c>
      <c r="J673">
        <v>61</v>
      </c>
      <c r="K673">
        <v>63</v>
      </c>
    </row>
    <row r="674" spans="1:11" x14ac:dyDescent="0.3">
      <c r="A674" t="s">
        <v>1362</v>
      </c>
      <c r="B674" t="s">
        <v>1363</v>
      </c>
      <c r="C674">
        <v>135</v>
      </c>
      <c r="D674" t="s">
        <v>28</v>
      </c>
      <c r="E674" s="1">
        <v>44848</v>
      </c>
      <c r="F674">
        <v>5.5</v>
      </c>
      <c r="G674">
        <v>4300</v>
      </c>
      <c r="H674">
        <v>5.9</v>
      </c>
      <c r="I674">
        <v>128</v>
      </c>
      <c r="J674">
        <v>65</v>
      </c>
      <c r="K674">
        <v>63</v>
      </c>
    </row>
    <row r="675" spans="1:11" x14ac:dyDescent="0.3">
      <c r="A675" t="s">
        <v>1364</v>
      </c>
      <c r="B675" t="s">
        <v>1365</v>
      </c>
      <c r="C675">
        <v>100</v>
      </c>
      <c r="D675" t="s">
        <v>28</v>
      </c>
      <c r="E675" s="1">
        <v>44817</v>
      </c>
      <c r="F675">
        <v>6.2</v>
      </c>
      <c r="G675">
        <v>20000</v>
      </c>
      <c r="H675">
        <v>6.0419999999999998</v>
      </c>
      <c r="I675">
        <v>310</v>
      </c>
      <c r="J675">
        <v>50</v>
      </c>
      <c r="K675">
        <v>63</v>
      </c>
    </row>
    <row r="676" spans="1:11" x14ac:dyDescent="0.3">
      <c r="A676" t="s">
        <v>1366</v>
      </c>
      <c r="B676" t="s">
        <v>1367</v>
      </c>
      <c r="C676">
        <v>118</v>
      </c>
      <c r="D676" t="s">
        <v>15</v>
      </c>
      <c r="E676" s="1">
        <v>44750</v>
      </c>
      <c r="F676">
        <v>6.2</v>
      </c>
      <c r="G676">
        <v>429000</v>
      </c>
      <c r="H676">
        <v>6.4</v>
      </c>
      <c r="I676">
        <v>8479</v>
      </c>
      <c r="J676">
        <v>57</v>
      </c>
      <c r="K676">
        <v>63</v>
      </c>
    </row>
    <row r="677" spans="1:11" x14ac:dyDescent="0.3">
      <c r="A677" t="s">
        <v>1368</v>
      </c>
      <c r="B677" t="s">
        <v>1369</v>
      </c>
      <c r="C677">
        <v>101</v>
      </c>
      <c r="D677" t="s">
        <v>28</v>
      </c>
      <c r="E677" s="1">
        <v>44659</v>
      </c>
      <c r="F677">
        <v>6.1</v>
      </c>
      <c r="G677">
        <v>30000</v>
      </c>
      <c r="H677">
        <v>6.0030000000000001</v>
      </c>
      <c r="I677">
        <v>618</v>
      </c>
      <c r="J677">
        <v>62</v>
      </c>
      <c r="K677">
        <v>63</v>
      </c>
    </row>
    <row r="678" spans="1:11" x14ac:dyDescent="0.3">
      <c r="A678" t="s">
        <v>1370</v>
      </c>
      <c r="B678" t="s">
        <v>1371</v>
      </c>
      <c r="C678">
        <v>127</v>
      </c>
      <c r="D678" t="s">
        <v>15</v>
      </c>
      <c r="E678" s="1">
        <v>45702</v>
      </c>
      <c r="F678">
        <v>6.7</v>
      </c>
      <c r="G678">
        <v>96000</v>
      </c>
      <c r="H678">
        <v>7.6180000000000003</v>
      </c>
      <c r="I678">
        <v>3586</v>
      </c>
      <c r="J678">
        <v>57</v>
      </c>
      <c r="K678">
        <v>62</v>
      </c>
    </row>
    <row r="679" spans="1:11" x14ac:dyDescent="0.3">
      <c r="A679" t="s">
        <v>1372</v>
      </c>
      <c r="B679" t="s">
        <v>1373</v>
      </c>
      <c r="C679">
        <v>144</v>
      </c>
      <c r="D679" t="s">
        <v>28</v>
      </c>
      <c r="E679" s="1">
        <v>45667</v>
      </c>
      <c r="F679">
        <v>6.3</v>
      </c>
      <c r="G679">
        <v>21000</v>
      </c>
      <c r="H679">
        <v>6.6</v>
      </c>
      <c r="I679">
        <v>768</v>
      </c>
      <c r="J679">
        <v>60</v>
      </c>
      <c r="K679">
        <v>62</v>
      </c>
    </row>
    <row r="680" spans="1:11" x14ac:dyDescent="0.3">
      <c r="A680" t="s">
        <v>1374</v>
      </c>
      <c r="B680" t="s">
        <v>1375</v>
      </c>
      <c r="C680">
        <v>98</v>
      </c>
      <c r="D680" t="s">
        <v>28</v>
      </c>
      <c r="E680" s="1">
        <v>45624</v>
      </c>
      <c r="F680">
        <v>5.5</v>
      </c>
      <c r="G680">
        <v>3800</v>
      </c>
      <c r="H680">
        <v>5.8</v>
      </c>
      <c r="I680">
        <v>87</v>
      </c>
      <c r="J680">
        <v>57</v>
      </c>
      <c r="K680">
        <v>62</v>
      </c>
    </row>
    <row r="681" spans="1:11" x14ac:dyDescent="0.3">
      <c r="A681" t="s">
        <v>1376</v>
      </c>
      <c r="B681" t="s">
        <v>1377</v>
      </c>
      <c r="C681">
        <v>88</v>
      </c>
      <c r="D681" t="s">
        <v>28</v>
      </c>
      <c r="E681" s="1">
        <v>45138</v>
      </c>
      <c r="F681">
        <v>5.6</v>
      </c>
      <c r="G681">
        <v>5400</v>
      </c>
      <c r="H681">
        <v>5.8</v>
      </c>
      <c r="I681">
        <v>127</v>
      </c>
      <c r="J681">
        <v>61</v>
      </c>
      <c r="K681">
        <v>62</v>
      </c>
    </row>
    <row r="682" spans="1:11" x14ac:dyDescent="0.3">
      <c r="A682" t="s">
        <v>1378</v>
      </c>
      <c r="B682" t="s">
        <v>1379</v>
      </c>
      <c r="C682">
        <v>116</v>
      </c>
      <c r="D682" t="s">
        <v>28</v>
      </c>
      <c r="E682" s="1">
        <v>45091</v>
      </c>
      <c r="F682">
        <v>5.7</v>
      </c>
      <c r="G682">
        <v>1400</v>
      </c>
      <c r="H682">
        <v>6.1749999999999998</v>
      </c>
      <c r="I682">
        <v>60</v>
      </c>
      <c r="J682">
        <v>59</v>
      </c>
      <c r="K682">
        <v>62</v>
      </c>
    </row>
    <row r="683" spans="1:11" x14ac:dyDescent="0.3">
      <c r="A683" t="s">
        <v>1380</v>
      </c>
      <c r="B683" t="s">
        <v>1381</v>
      </c>
      <c r="C683">
        <v>128</v>
      </c>
      <c r="D683" t="s">
        <v>28</v>
      </c>
      <c r="E683" s="1">
        <v>44932</v>
      </c>
      <c r="F683">
        <v>6.6</v>
      </c>
      <c r="G683">
        <v>132000</v>
      </c>
      <c r="H683">
        <v>6.8109999999999999</v>
      </c>
      <c r="I683">
        <v>2139</v>
      </c>
      <c r="J683">
        <v>56</v>
      </c>
      <c r="K683">
        <v>62</v>
      </c>
    </row>
    <row r="684" spans="1:11" x14ac:dyDescent="0.3">
      <c r="A684" t="s">
        <v>1382</v>
      </c>
      <c r="B684" t="s">
        <v>1383</v>
      </c>
      <c r="C684">
        <v>104</v>
      </c>
      <c r="D684" t="s">
        <v>28</v>
      </c>
      <c r="E684" s="1">
        <v>44862</v>
      </c>
      <c r="F684">
        <v>5.5</v>
      </c>
      <c r="G684">
        <v>8300</v>
      </c>
      <c r="H684">
        <v>5.6</v>
      </c>
      <c r="I684">
        <v>219</v>
      </c>
      <c r="J684">
        <v>51</v>
      </c>
      <c r="K684">
        <v>62</v>
      </c>
    </row>
    <row r="685" spans="1:11" x14ac:dyDescent="0.3">
      <c r="A685" t="s">
        <v>1384</v>
      </c>
      <c r="B685" t="s">
        <v>1385</v>
      </c>
      <c r="C685">
        <v>110</v>
      </c>
      <c r="D685" t="s">
        <v>90</v>
      </c>
      <c r="E685" s="1">
        <v>44790</v>
      </c>
      <c r="F685">
        <v>6.3</v>
      </c>
      <c r="G685">
        <v>25000</v>
      </c>
      <c r="H685">
        <v>6.8570000000000002</v>
      </c>
      <c r="I685">
        <v>718</v>
      </c>
      <c r="J685">
        <v>49</v>
      </c>
      <c r="K685">
        <v>62</v>
      </c>
    </row>
    <row r="686" spans="1:11" x14ac:dyDescent="0.3">
      <c r="A686" t="s">
        <v>1386</v>
      </c>
      <c r="B686" t="s">
        <v>1387</v>
      </c>
      <c r="C686">
        <v>95</v>
      </c>
      <c r="D686" t="s">
        <v>28</v>
      </c>
      <c r="E686" s="1">
        <v>44617</v>
      </c>
      <c r="F686">
        <v>6.1</v>
      </c>
      <c r="G686">
        <v>36000</v>
      </c>
      <c r="H686">
        <v>6.843</v>
      </c>
      <c r="I686">
        <v>1280</v>
      </c>
      <c r="J686">
        <v>54</v>
      </c>
      <c r="K686">
        <v>62</v>
      </c>
    </row>
    <row r="687" spans="1:11" x14ac:dyDescent="0.3">
      <c r="A687" t="s">
        <v>1388</v>
      </c>
      <c r="B687" t="s">
        <v>1389</v>
      </c>
      <c r="C687">
        <v>127</v>
      </c>
      <c r="D687" t="s">
        <v>15</v>
      </c>
      <c r="E687" s="1">
        <v>44603</v>
      </c>
      <c r="F687">
        <v>6.3</v>
      </c>
      <c r="G687">
        <v>200000</v>
      </c>
      <c r="H687">
        <v>6.4</v>
      </c>
      <c r="I687">
        <v>4138</v>
      </c>
      <c r="J687">
        <v>52</v>
      </c>
      <c r="K687">
        <v>62</v>
      </c>
    </row>
    <row r="688" spans="1:11" x14ac:dyDescent="0.3">
      <c r="A688" t="s">
        <v>1390</v>
      </c>
      <c r="B688" t="s">
        <v>1391</v>
      </c>
      <c r="C688">
        <v>95</v>
      </c>
      <c r="D688" t="s">
        <v>28</v>
      </c>
      <c r="E688" s="1">
        <v>45310</v>
      </c>
      <c r="F688">
        <v>5.3</v>
      </c>
      <c r="G688">
        <v>12000</v>
      </c>
      <c r="H688">
        <v>5.7910000000000004</v>
      </c>
      <c r="I688">
        <v>375</v>
      </c>
      <c r="J688">
        <v>53</v>
      </c>
      <c r="K688">
        <v>61</v>
      </c>
    </row>
    <row r="689" spans="1:11" x14ac:dyDescent="0.3">
      <c r="A689" t="s">
        <v>1392</v>
      </c>
      <c r="B689" t="s">
        <v>1393</v>
      </c>
      <c r="C689">
        <v>114</v>
      </c>
      <c r="D689" t="s">
        <v>28</v>
      </c>
      <c r="E689" s="1">
        <v>45212</v>
      </c>
      <c r="F689">
        <v>7.6</v>
      </c>
      <c r="G689">
        <v>7900</v>
      </c>
      <c r="H689">
        <v>7.5129999999999999</v>
      </c>
      <c r="I689">
        <v>159</v>
      </c>
      <c r="J689">
        <v>61</v>
      </c>
      <c r="K689">
        <v>61</v>
      </c>
    </row>
    <row r="690" spans="1:11" x14ac:dyDescent="0.3">
      <c r="A690" t="s">
        <v>1394</v>
      </c>
      <c r="B690" t="s">
        <v>1395</v>
      </c>
      <c r="C690">
        <v>112</v>
      </c>
      <c r="D690" t="s">
        <v>15</v>
      </c>
      <c r="E690" s="1">
        <v>44603</v>
      </c>
      <c r="F690">
        <v>6.1</v>
      </c>
      <c r="G690">
        <v>46000</v>
      </c>
      <c r="H690">
        <v>6.6230000000000002</v>
      </c>
      <c r="I690">
        <v>1089</v>
      </c>
      <c r="J690">
        <v>51</v>
      </c>
      <c r="K690">
        <v>61</v>
      </c>
    </row>
    <row r="691" spans="1:11" x14ac:dyDescent="0.3">
      <c r="A691" t="s">
        <v>1396</v>
      </c>
      <c r="B691" t="s">
        <v>1397</v>
      </c>
      <c r="C691">
        <v>99</v>
      </c>
      <c r="D691" t="s">
        <v>28</v>
      </c>
      <c r="E691" s="1">
        <v>45632</v>
      </c>
      <c r="F691">
        <v>5.6</v>
      </c>
      <c r="G691">
        <v>19000</v>
      </c>
      <c r="H691">
        <v>5.766</v>
      </c>
      <c r="I691">
        <v>350</v>
      </c>
      <c r="J691">
        <v>56</v>
      </c>
      <c r="K691">
        <v>60</v>
      </c>
    </row>
    <row r="692" spans="1:11" x14ac:dyDescent="0.3">
      <c r="A692" t="s">
        <v>1398</v>
      </c>
      <c r="B692" t="s">
        <v>1399</v>
      </c>
      <c r="C692">
        <v>100</v>
      </c>
      <c r="D692" t="s">
        <v>12</v>
      </c>
      <c r="E692" s="1">
        <v>45623</v>
      </c>
      <c r="F692">
        <v>6.7</v>
      </c>
      <c r="G692">
        <v>92000</v>
      </c>
      <c r="H692">
        <v>6.9950000000000001</v>
      </c>
      <c r="I692">
        <v>3020</v>
      </c>
      <c r="J692">
        <v>58</v>
      </c>
      <c r="K692">
        <v>60</v>
      </c>
    </row>
    <row r="693" spans="1:11" x14ac:dyDescent="0.3">
      <c r="A693" t="s">
        <v>1400</v>
      </c>
      <c r="B693" t="s">
        <v>1401</v>
      </c>
      <c r="C693">
        <v>112</v>
      </c>
      <c r="D693" t="s">
        <v>28</v>
      </c>
      <c r="E693" s="1">
        <v>45527</v>
      </c>
      <c r="F693">
        <v>6.2</v>
      </c>
      <c r="G693">
        <v>11000</v>
      </c>
      <c r="H693">
        <v>6.4</v>
      </c>
      <c r="I693">
        <v>249</v>
      </c>
      <c r="J693">
        <v>45</v>
      </c>
      <c r="K693">
        <v>60</v>
      </c>
    </row>
    <row r="694" spans="1:11" x14ac:dyDescent="0.3">
      <c r="A694" t="s">
        <v>1402</v>
      </c>
      <c r="B694" t="s">
        <v>1403</v>
      </c>
      <c r="C694">
        <v>104</v>
      </c>
      <c r="D694" t="s">
        <v>28</v>
      </c>
      <c r="E694" s="1">
        <v>45261</v>
      </c>
      <c r="F694">
        <v>5.3</v>
      </c>
      <c r="G694">
        <v>25000</v>
      </c>
      <c r="H694">
        <v>6.1550000000000002</v>
      </c>
      <c r="I694">
        <v>932</v>
      </c>
      <c r="J694">
        <v>53</v>
      </c>
      <c r="K694">
        <v>60</v>
      </c>
    </row>
    <row r="695" spans="1:11" x14ac:dyDescent="0.3">
      <c r="A695" t="s">
        <v>1404</v>
      </c>
      <c r="B695" t="s">
        <v>1405</v>
      </c>
      <c r="C695">
        <v>90</v>
      </c>
      <c r="D695" t="s">
        <v>25</v>
      </c>
      <c r="E695" s="1">
        <v>45135</v>
      </c>
      <c r="F695">
        <v>5.5</v>
      </c>
      <c r="G695">
        <v>13000</v>
      </c>
      <c r="H695">
        <v>5.915</v>
      </c>
      <c r="I695">
        <v>324</v>
      </c>
      <c r="J695">
        <v>54</v>
      </c>
      <c r="K695">
        <v>60</v>
      </c>
    </row>
    <row r="696" spans="1:11" x14ac:dyDescent="0.3">
      <c r="A696" t="s">
        <v>1406</v>
      </c>
      <c r="B696" t="s">
        <v>1407</v>
      </c>
      <c r="C696">
        <v>98</v>
      </c>
      <c r="D696" t="s">
        <v>15</v>
      </c>
      <c r="E696" s="1">
        <v>45079</v>
      </c>
      <c r="F696">
        <v>5.9</v>
      </c>
      <c r="G696">
        <v>49000</v>
      </c>
      <c r="H696">
        <v>6.3879999999999999</v>
      </c>
      <c r="I696">
        <v>1065</v>
      </c>
      <c r="J696">
        <v>55</v>
      </c>
      <c r="K696">
        <v>60</v>
      </c>
    </row>
    <row r="697" spans="1:11" x14ac:dyDescent="0.3">
      <c r="A697" t="s">
        <v>1408</v>
      </c>
      <c r="B697" t="s">
        <v>1409</v>
      </c>
      <c r="C697">
        <v>105</v>
      </c>
      <c r="D697" t="s">
        <v>28</v>
      </c>
      <c r="E697" s="1">
        <v>45006</v>
      </c>
      <c r="F697">
        <v>6.8</v>
      </c>
      <c r="G697">
        <v>4700</v>
      </c>
      <c r="H697">
        <v>7.4</v>
      </c>
      <c r="I697">
        <v>111</v>
      </c>
      <c r="J697">
        <v>52</v>
      </c>
      <c r="K697">
        <v>60</v>
      </c>
    </row>
    <row r="698" spans="1:11" x14ac:dyDescent="0.3">
      <c r="A698" t="s">
        <v>1410</v>
      </c>
      <c r="B698" t="s">
        <v>1411</v>
      </c>
      <c r="C698">
        <v>94</v>
      </c>
      <c r="D698" t="s">
        <v>28</v>
      </c>
      <c r="E698" s="1">
        <v>45730</v>
      </c>
      <c r="F698">
        <v>5.3</v>
      </c>
      <c r="G698">
        <v>2000</v>
      </c>
      <c r="H698">
        <v>5.7</v>
      </c>
      <c r="I698">
        <v>146</v>
      </c>
      <c r="J698">
        <v>63</v>
      </c>
      <c r="K698">
        <v>59</v>
      </c>
    </row>
    <row r="699" spans="1:11" x14ac:dyDescent="0.3">
      <c r="A699" t="s">
        <v>1412</v>
      </c>
      <c r="B699" t="s">
        <v>1413</v>
      </c>
      <c r="C699">
        <v>97</v>
      </c>
      <c r="D699" t="s">
        <v>15</v>
      </c>
      <c r="E699" s="1">
        <v>45569</v>
      </c>
      <c r="F699">
        <v>5.7</v>
      </c>
      <c r="G699">
        <v>3500</v>
      </c>
      <c r="H699">
        <v>6.157</v>
      </c>
      <c r="I699">
        <v>178</v>
      </c>
      <c r="J699">
        <v>54</v>
      </c>
      <c r="K699">
        <v>59</v>
      </c>
    </row>
    <row r="700" spans="1:11" x14ac:dyDescent="0.3">
      <c r="A700" t="s">
        <v>1414</v>
      </c>
      <c r="B700" t="s">
        <v>1415</v>
      </c>
      <c r="C700">
        <v>103</v>
      </c>
      <c r="D700" t="s">
        <v>18</v>
      </c>
      <c r="E700" s="1">
        <v>45485</v>
      </c>
      <c r="F700">
        <v>5.8</v>
      </c>
      <c r="G700">
        <v>1300</v>
      </c>
      <c r="H700">
        <v>5.6</v>
      </c>
      <c r="I700">
        <v>30</v>
      </c>
      <c r="J700">
        <v>55</v>
      </c>
      <c r="K700">
        <v>59</v>
      </c>
    </row>
    <row r="701" spans="1:11" x14ac:dyDescent="0.3">
      <c r="A701" t="s">
        <v>1416</v>
      </c>
      <c r="B701" t="s">
        <v>1417</v>
      </c>
      <c r="C701">
        <v>115</v>
      </c>
      <c r="D701" t="s">
        <v>28</v>
      </c>
      <c r="E701" s="1">
        <v>45387</v>
      </c>
      <c r="F701">
        <v>6.8</v>
      </c>
      <c r="G701">
        <v>19000</v>
      </c>
      <c r="H701">
        <v>7.9</v>
      </c>
      <c r="I701">
        <v>1357</v>
      </c>
      <c r="J701">
        <v>45</v>
      </c>
      <c r="K701">
        <v>59</v>
      </c>
    </row>
    <row r="702" spans="1:11" x14ac:dyDescent="0.3">
      <c r="A702" t="s">
        <v>1418</v>
      </c>
      <c r="B702" t="s">
        <v>1419</v>
      </c>
      <c r="C702">
        <v>98</v>
      </c>
      <c r="D702" t="s">
        <v>28</v>
      </c>
      <c r="E702" s="1">
        <v>45198</v>
      </c>
      <c r="F702">
        <v>5.5</v>
      </c>
      <c r="G702">
        <v>8400</v>
      </c>
      <c r="H702">
        <v>5.9</v>
      </c>
      <c r="I702">
        <v>287</v>
      </c>
      <c r="J702">
        <v>58</v>
      </c>
      <c r="K702">
        <v>59</v>
      </c>
    </row>
    <row r="703" spans="1:11" x14ac:dyDescent="0.3">
      <c r="A703" t="s">
        <v>1420</v>
      </c>
      <c r="B703" t="s">
        <v>1421</v>
      </c>
      <c r="C703">
        <v>87</v>
      </c>
      <c r="D703" t="s">
        <v>28</v>
      </c>
      <c r="E703" s="1">
        <v>45044</v>
      </c>
      <c r="F703">
        <v>5.0999999999999996</v>
      </c>
      <c r="G703">
        <v>750</v>
      </c>
      <c r="H703">
        <v>5.6</v>
      </c>
      <c r="I703">
        <v>25</v>
      </c>
      <c r="J703">
        <v>43</v>
      </c>
      <c r="K703">
        <v>59</v>
      </c>
    </row>
    <row r="704" spans="1:11" x14ac:dyDescent="0.3">
      <c r="A704" t="s">
        <v>1422</v>
      </c>
      <c r="B704" t="s">
        <v>1423</v>
      </c>
      <c r="C704">
        <v>92</v>
      </c>
      <c r="D704" t="s">
        <v>12</v>
      </c>
      <c r="E704" s="1">
        <v>45021</v>
      </c>
      <c r="F704">
        <v>7</v>
      </c>
      <c r="G704">
        <v>264000</v>
      </c>
      <c r="H704">
        <v>7.6</v>
      </c>
      <c r="I704">
        <v>10483</v>
      </c>
      <c r="J704">
        <v>46</v>
      </c>
      <c r="K704">
        <v>59</v>
      </c>
    </row>
    <row r="705" spans="1:11" x14ac:dyDescent="0.3">
      <c r="A705" t="s">
        <v>1424</v>
      </c>
      <c r="B705" t="s">
        <v>1425</v>
      </c>
      <c r="C705">
        <v>124</v>
      </c>
      <c r="D705" t="s">
        <v>15</v>
      </c>
      <c r="E705" s="1">
        <v>44995</v>
      </c>
      <c r="F705">
        <v>6.8</v>
      </c>
      <c r="G705">
        <v>32000</v>
      </c>
      <c r="H705">
        <v>6.7210000000000001</v>
      </c>
      <c r="I705">
        <v>492</v>
      </c>
      <c r="J705">
        <v>50</v>
      </c>
      <c r="K705">
        <v>59</v>
      </c>
    </row>
    <row r="706" spans="1:11" x14ac:dyDescent="0.3">
      <c r="A706" t="s">
        <v>1426</v>
      </c>
      <c r="B706" t="s">
        <v>1427</v>
      </c>
      <c r="C706">
        <v>98</v>
      </c>
      <c r="D706" t="s">
        <v>15</v>
      </c>
      <c r="E706" s="1">
        <v>44960</v>
      </c>
      <c r="F706">
        <v>5.9</v>
      </c>
      <c r="G706">
        <v>13000</v>
      </c>
      <c r="H706">
        <v>6.1870000000000003</v>
      </c>
      <c r="I706">
        <v>193</v>
      </c>
      <c r="J706">
        <v>52</v>
      </c>
      <c r="K706">
        <v>59</v>
      </c>
    </row>
    <row r="707" spans="1:11" x14ac:dyDescent="0.3">
      <c r="A707" t="s">
        <v>1428</v>
      </c>
      <c r="B707" t="s">
        <v>1429</v>
      </c>
      <c r="C707">
        <v>92</v>
      </c>
      <c r="D707" t="s">
        <v>28</v>
      </c>
      <c r="E707" s="1">
        <v>44638</v>
      </c>
      <c r="F707">
        <v>5.7</v>
      </c>
      <c r="G707">
        <v>27000</v>
      </c>
      <c r="H707">
        <v>5.5</v>
      </c>
      <c r="I707">
        <v>475</v>
      </c>
      <c r="J707">
        <v>52</v>
      </c>
      <c r="K707">
        <v>59</v>
      </c>
    </row>
    <row r="708" spans="1:11" x14ac:dyDescent="0.3">
      <c r="A708" t="s">
        <v>1430</v>
      </c>
      <c r="B708" t="s">
        <v>1431</v>
      </c>
      <c r="C708">
        <v>91</v>
      </c>
      <c r="D708" t="s">
        <v>63</v>
      </c>
      <c r="E708" s="1">
        <v>45699</v>
      </c>
      <c r="F708">
        <v>6.1</v>
      </c>
      <c r="G708">
        <v>7600</v>
      </c>
      <c r="H708">
        <v>6.8140000000000001</v>
      </c>
      <c r="I708">
        <v>266</v>
      </c>
      <c r="J708">
        <v>54</v>
      </c>
      <c r="K708">
        <v>58</v>
      </c>
    </row>
    <row r="709" spans="1:11" x14ac:dyDescent="0.3">
      <c r="A709" t="s">
        <v>1432</v>
      </c>
      <c r="B709" t="s">
        <v>1433</v>
      </c>
      <c r="C709">
        <v>121</v>
      </c>
      <c r="D709" t="s">
        <v>28</v>
      </c>
      <c r="E709" s="1">
        <v>45457</v>
      </c>
      <c r="F709">
        <v>6.3</v>
      </c>
      <c r="G709">
        <v>5200</v>
      </c>
      <c r="H709">
        <v>6.3369999999999997</v>
      </c>
      <c r="I709">
        <v>148</v>
      </c>
      <c r="J709">
        <v>54</v>
      </c>
      <c r="K709">
        <v>58</v>
      </c>
    </row>
    <row r="710" spans="1:11" x14ac:dyDescent="0.3">
      <c r="A710" t="s">
        <v>1434</v>
      </c>
      <c r="B710" t="s">
        <v>1435</v>
      </c>
      <c r="C710">
        <v>111</v>
      </c>
      <c r="D710" t="s">
        <v>28</v>
      </c>
      <c r="E710" s="1">
        <v>45408</v>
      </c>
      <c r="F710">
        <v>6.4</v>
      </c>
      <c r="G710">
        <v>35000</v>
      </c>
      <c r="H710">
        <v>6.7119999999999997</v>
      </c>
      <c r="I710">
        <v>793</v>
      </c>
      <c r="J710">
        <v>47</v>
      </c>
      <c r="K710">
        <v>58</v>
      </c>
    </row>
    <row r="711" spans="1:11" x14ac:dyDescent="0.3">
      <c r="A711" t="s">
        <v>1436</v>
      </c>
      <c r="B711" t="s">
        <v>1437</v>
      </c>
      <c r="C711">
        <v>158</v>
      </c>
      <c r="D711" t="s">
        <v>28</v>
      </c>
      <c r="E711" s="1">
        <v>45252</v>
      </c>
      <c r="F711">
        <v>6.3</v>
      </c>
      <c r="G711">
        <v>171000</v>
      </c>
      <c r="H711">
        <v>6.3</v>
      </c>
      <c r="I711">
        <v>3045</v>
      </c>
      <c r="J711">
        <v>64</v>
      </c>
      <c r="K711">
        <v>58</v>
      </c>
    </row>
    <row r="712" spans="1:11" x14ac:dyDescent="0.3">
      <c r="A712" t="s">
        <v>1438</v>
      </c>
      <c r="B712" t="s">
        <v>1439</v>
      </c>
      <c r="C712">
        <v>131</v>
      </c>
      <c r="D712" t="s">
        <v>15</v>
      </c>
      <c r="E712" s="1">
        <v>45111</v>
      </c>
      <c r="F712">
        <v>7.6</v>
      </c>
      <c r="G712">
        <v>129000</v>
      </c>
      <c r="H712">
        <v>7.9560000000000004</v>
      </c>
      <c r="I712">
        <v>2724</v>
      </c>
      <c r="J712">
        <v>36</v>
      </c>
      <c r="K712">
        <v>58</v>
      </c>
    </row>
    <row r="713" spans="1:11" x14ac:dyDescent="0.3">
      <c r="A713" t="s">
        <v>1440</v>
      </c>
      <c r="B713" t="s">
        <v>1441</v>
      </c>
      <c r="C713">
        <v>93</v>
      </c>
      <c r="D713" t="s">
        <v>28</v>
      </c>
      <c r="E713" s="1">
        <v>45030</v>
      </c>
      <c r="F713">
        <v>6.4</v>
      </c>
      <c r="G713">
        <v>111000</v>
      </c>
      <c r="H713">
        <v>6.5</v>
      </c>
      <c r="I713">
        <v>2095</v>
      </c>
      <c r="J713">
        <v>53</v>
      </c>
      <c r="K713">
        <v>58</v>
      </c>
    </row>
    <row r="714" spans="1:11" x14ac:dyDescent="0.3">
      <c r="A714" t="s">
        <v>1442</v>
      </c>
      <c r="B714" t="s">
        <v>1443</v>
      </c>
      <c r="C714">
        <v>101</v>
      </c>
      <c r="D714" t="s">
        <v>28</v>
      </c>
      <c r="E714" s="1">
        <v>45555</v>
      </c>
      <c r="F714">
        <v>5.4</v>
      </c>
      <c r="G714">
        <v>14000</v>
      </c>
      <c r="H714">
        <v>6.1</v>
      </c>
      <c r="I714">
        <v>573</v>
      </c>
      <c r="J714">
        <v>55</v>
      </c>
      <c r="K714">
        <v>57</v>
      </c>
    </row>
    <row r="715" spans="1:11" x14ac:dyDescent="0.3">
      <c r="A715" t="s">
        <v>1444</v>
      </c>
      <c r="B715" t="s">
        <v>1445</v>
      </c>
      <c r="C715">
        <v>123</v>
      </c>
      <c r="D715" t="s">
        <v>15</v>
      </c>
      <c r="E715" s="1">
        <v>45285</v>
      </c>
      <c r="F715">
        <v>7</v>
      </c>
      <c r="G715">
        <v>27000</v>
      </c>
      <c r="H715">
        <v>7.24</v>
      </c>
      <c r="I715">
        <v>346</v>
      </c>
      <c r="J715">
        <v>54</v>
      </c>
      <c r="K715">
        <v>57</v>
      </c>
    </row>
    <row r="716" spans="1:11" x14ac:dyDescent="0.3">
      <c r="A716" t="s">
        <v>1446</v>
      </c>
      <c r="B716" t="s">
        <v>1447</v>
      </c>
      <c r="C716">
        <v>98</v>
      </c>
      <c r="D716" t="s">
        <v>28</v>
      </c>
      <c r="E716" s="1">
        <v>45017</v>
      </c>
      <c r="F716">
        <v>5.3</v>
      </c>
      <c r="G716">
        <v>5800</v>
      </c>
      <c r="H716">
        <v>7.0869999999999997</v>
      </c>
      <c r="I716">
        <v>1147</v>
      </c>
      <c r="J716">
        <v>41</v>
      </c>
      <c r="K716">
        <v>57</v>
      </c>
    </row>
    <row r="717" spans="1:11" x14ac:dyDescent="0.3">
      <c r="A717" t="s">
        <v>1448</v>
      </c>
      <c r="B717" t="s">
        <v>1449</v>
      </c>
      <c r="C717">
        <v>128</v>
      </c>
      <c r="D717" t="s">
        <v>28</v>
      </c>
      <c r="E717" s="1">
        <v>45009</v>
      </c>
      <c r="F717">
        <v>7.1</v>
      </c>
      <c r="G717">
        <v>26000</v>
      </c>
      <c r="H717">
        <v>7.05</v>
      </c>
      <c r="I717">
        <v>428</v>
      </c>
      <c r="J717">
        <v>50</v>
      </c>
      <c r="K717">
        <v>57</v>
      </c>
    </row>
    <row r="718" spans="1:11" x14ac:dyDescent="0.3">
      <c r="A718" t="s">
        <v>1450</v>
      </c>
      <c r="B718" t="s">
        <v>1451</v>
      </c>
      <c r="C718">
        <v>189</v>
      </c>
      <c r="D718" t="s">
        <v>28</v>
      </c>
      <c r="E718" s="1">
        <v>44918</v>
      </c>
      <c r="F718">
        <v>7.1</v>
      </c>
      <c r="G718">
        <v>192000</v>
      </c>
      <c r="H718">
        <v>7.3620000000000001</v>
      </c>
      <c r="I718">
        <v>3724</v>
      </c>
      <c r="J718">
        <v>61</v>
      </c>
      <c r="K718">
        <v>57</v>
      </c>
    </row>
    <row r="719" spans="1:11" x14ac:dyDescent="0.3">
      <c r="A719" t="s">
        <v>1452</v>
      </c>
      <c r="B719" t="s">
        <v>1453</v>
      </c>
      <c r="C719">
        <v>99</v>
      </c>
      <c r="D719" t="s">
        <v>12</v>
      </c>
      <c r="E719" s="1">
        <v>44827</v>
      </c>
      <c r="F719">
        <v>5.5</v>
      </c>
      <c r="G719">
        <v>1700</v>
      </c>
      <c r="H719">
        <v>6.5209999999999999</v>
      </c>
      <c r="I719">
        <v>264</v>
      </c>
      <c r="J719">
        <v>54</v>
      </c>
      <c r="K719">
        <v>57</v>
      </c>
    </row>
    <row r="720" spans="1:11" x14ac:dyDescent="0.3">
      <c r="A720" t="s">
        <v>1454</v>
      </c>
      <c r="B720" t="s">
        <v>1455</v>
      </c>
      <c r="C720">
        <v>113</v>
      </c>
      <c r="D720" t="s">
        <v>28</v>
      </c>
      <c r="E720" s="1">
        <v>44785</v>
      </c>
      <c r="F720">
        <v>6.1</v>
      </c>
      <c r="G720">
        <v>95000</v>
      </c>
      <c r="H720">
        <v>6.7430000000000003</v>
      </c>
      <c r="I720">
        <v>2173</v>
      </c>
      <c r="J720">
        <v>51</v>
      </c>
      <c r="K720">
        <v>57</v>
      </c>
    </row>
    <row r="721" spans="1:11" x14ac:dyDescent="0.3">
      <c r="A721" t="s">
        <v>1456</v>
      </c>
      <c r="B721" t="s">
        <v>1457</v>
      </c>
      <c r="C721">
        <v>102</v>
      </c>
      <c r="D721" t="s">
        <v>63</v>
      </c>
      <c r="E721" s="1">
        <v>44622</v>
      </c>
      <c r="F721">
        <v>6.5</v>
      </c>
      <c r="G721">
        <v>30000</v>
      </c>
      <c r="H721">
        <v>6.7779999999999996</v>
      </c>
      <c r="I721">
        <v>606</v>
      </c>
      <c r="J721">
        <v>49</v>
      </c>
      <c r="K721">
        <v>57</v>
      </c>
    </row>
    <row r="722" spans="1:11" x14ac:dyDescent="0.3">
      <c r="A722" t="s">
        <v>1458</v>
      </c>
      <c r="B722" t="s">
        <v>1459</v>
      </c>
      <c r="C722">
        <v>95</v>
      </c>
      <c r="D722" t="s">
        <v>63</v>
      </c>
      <c r="E722" s="1">
        <v>45723</v>
      </c>
      <c r="F722">
        <v>5.6</v>
      </c>
      <c r="G722">
        <v>2100</v>
      </c>
      <c r="H722">
        <v>6.157</v>
      </c>
      <c r="I722">
        <v>70</v>
      </c>
      <c r="J722">
        <v>62</v>
      </c>
      <c r="K722">
        <v>56</v>
      </c>
    </row>
    <row r="723" spans="1:11" x14ac:dyDescent="0.3">
      <c r="A723" t="s">
        <v>1460</v>
      </c>
      <c r="B723" t="s">
        <v>1461</v>
      </c>
      <c r="C723">
        <v>148</v>
      </c>
      <c r="D723" t="s">
        <v>28</v>
      </c>
      <c r="E723" s="1">
        <v>45708</v>
      </c>
      <c r="F723">
        <v>5.5</v>
      </c>
      <c r="G723">
        <v>1600</v>
      </c>
      <c r="H723">
        <v>5.28</v>
      </c>
      <c r="I723">
        <v>75</v>
      </c>
      <c r="J723">
        <v>66</v>
      </c>
      <c r="K723">
        <v>56</v>
      </c>
    </row>
    <row r="724" spans="1:11" x14ac:dyDescent="0.3">
      <c r="A724" t="s">
        <v>1462</v>
      </c>
      <c r="B724" t="s">
        <v>1463</v>
      </c>
      <c r="C724">
        <v>127</v>
      </c>
      <c r="D724" t="s">
        <v>15</v>
      </c>
      <c r="E724" s="1">
        <v>45646</v>
      </c>
      <c r="F724">
        <v>6.7</v>
      </c>
      <c r="G724">
        <v>25000</v>
      </c>
      <c r="H724">
        <v>7.5229999999999997</v>
      </c>
      <c r="I724">
        <v>656</v>
      </c>
      <c r="J724">
        <v>51</v>
      </c>
      <c r="K724">
        <v>56</v>
      </c>
    </row>
    <row r="725" spans="1:11" x14ac:dyDescent="0.3">
      <c r="A725" t="s">
        <v>1464</v>
      </c>
      <c r="B725" t="s">
        <v>1465</v>
      </c>
      <c r="C725">
        <v>118</v>
      </c>
      <c r="D725" t="s">
        <v>12</v>
      </c>
      <c r="E725" s="1">
        <v>45646</v>
      </c>
      <c r="F725">
        <v>6.6</v>
      </c>
      <c r="G725">
        <v>49000</v>
      </c>
      <c r="H725">
        <v>7.3090000000000002</v>
      </c>
      <c r="I725">
        <v>2603</v>
      </c>
      <c r="J725">
        <v>56</v>
      </c>
      <c r="K725">
        <v>56</v>
      </c>
    </row>
    <row r="726" spans="1:11" x14ac:dyDescent="0.3">
      <c r="A726" t="s">
        <v>1466</v>
      </c>
      <c r="B726" t="s">
        <v>1467</v>
      </c>
      <c r="C726">
        <v>112</v>
      </c>
      <c r="D726" t="s">
        <v>28</v>
      </c>
      <c r="E726" s="1">
        <v>45597</v>
      </c>
      <c r="F726">
        <v>5.2</v>
      </c>
      <c r="G726">
        <v>7500</v>
      </c>
      <c r="H726">
        <v>5.8970000000000002</v>
      </c>
      <c r="I726">
        <v>511</v>
      </c>
      <c r="J726">
        <v>51</v>
      </c>
      <c r="K726">
        <v>56</v>
      </c>
    </row>
    <row r="727" spans="1:11" x14ac:dyDescent="0.3">
      <c r="A727" t="s">
        <v>1468</v>
      </c>
      <c r="B727" t="s">
        <v>1469</v>
      </c>
      <c r="C727">
        <v>105</v>
      </c>
      <c r="D727" t="s">
        <v>15</v>
      </c>
      <c r="E727" s="1">
        <v>45506</v>
      </c>
      <c r="F727">
        <v>5.8</v>
      </c>
      <c r="G727">
        <v>132000</v>
      </c>
      <c r="H727">
        <v>6.2359999999999998</v>
      </c>
      <c r="I727">
        <v>2758</v>
      </c>
      <c r="J727">
        <v>52</v>
      </c>
      <c r="K727">
        <v>56</v>
      </c>
    </row>
    <row r="728" spans="1:11" x14ac:dyDescent="0.3">
      <c r="A728" t="s">
        <v>1470</v>
      </c>
      <c r="B728" t="s">
        <v>1471</v>
      </c>
      <c r="C728">
        <v>110</v>
      </c>
      <c r="D728" t="s">
        <v>15</v>
      </c>
      <c r="E728" s="1">
        <v>45359</v>
      </c>
      <c r="F728">
        <v>6.1</v>
      </c>
      <c r="G728">
        <v>108000</v>
      </c>
      <c r="H728">
        <v>6.984</v>
      </c>
      <c r="I728">
        <v>2740</v>
      </c>
      <c r="J728">
        <v>46</v>
      </c>
      <c r="K728">
        <v>56</v>
      </c>
    </row>
    <row r="729" spans="1:11" x14ac:dyDescent="0.3">
      <c r="A729" t="s">
        <v>1472</v>
      </c>
      <c r="B729" t="s">
        <v>1473</v>
      </c>
      <c r="C729">
        <v>90</v>
      </c>
      <c r="D729" t="s">
        <v>160</v>
      </c>
      <c r="E729" s="1">
        <v>45252</v>
      </c>
      <c r="F729">
        <v>5.3</v>
      </c>
      <c r="G729">
        <v>4200</v>
      </c>
      <c r="H729">
        <v>6.3</v>
      </c>
      <c r="I729">
        <v>110</v>
      </c>
      <c r="J729">
        <v>48</v>
      </c>
      <c r="K729">
        <v>56</v>
      </c>
    </row>
    <row r="730" spans="1:11" x14ac:dyDescent="0.3">
      <c r="A730" t="s">
        <v>1474</v>
      </c>
      <c r="B730" t="s">
        <v>1475</v>
      </c>
      <c r="C730">
        <v>141</v>
      </c>
      <c r="D730" t="s">
        <v>15</v>
      </c>
      <c r="E730" s="1">
        <v>45065</v>
      </c>
      <c r="F730">
        <v>5.7</v>
      </c>
      <c r="G730">
        <v>133000</v>
      </c>
      <c r="H730">
        <v>7.0010000000000003</v>
      </c>
      <c r="I730">
        <v>6258</v>
      </c>
      <c r="J730">
        <v>56</v>
      </c>
      <c r="K730">
        <v>56</v>
      </c>
    </row>
    <row r="731" spans="1:11" x14ac:dyDescent="0.3">
      <c r="A731" t="s">
        <v>1476</v>
      </c>
      <c r="B731" t="s">
        <v>1477</v>
      </c>
      <c r="C731">
        <v>104</v>
      </c>
      <c r="D731" t="s">
        <v>15</v>
      </c>
      <c r="E731" s="1">
        <v>44855</v>
      </c>
      <c r="F731">
        <v>6.1</v>
      </c>
      <c r="G731">
        <v>77000</v>
      </c>
      <c r="H731">
        <v>6.4210000000000003</v>
      </c>
      <c r="I731">
        <v>1374</v>
      </c>
      <c r="J731">
        <v>50</v>
      </c>
      <c r="K731">
        <v>56</v>
      </c>
    </row>
    <row r="732" spans="1:11" x14ac:dyDescent="0.3">
      <c r="A732" t="s">
        <v>1478</v>
      </c>
      <c r="B732" t="s">
        <v>1479</v>
      </c>
      <c r="C732">
        <v>98</v>
      </c>
      <c r="D732" t="s">
        <v>12</v>
      </c>
      <c r="E732" s="1">
        <v>44757</v>
      </c>
      <c r="F732">
        <v>5.8</v>
      </c>
      <c r="G732">
        <v>7100</v>
      </c>
      <c r="H732">
        <v>6.6</v>
      </c>
      <c r="I732">
        <v>325</v>
      </c>
      <c r="J732">
        <v>45</v>
      </c>
      <c r="K732">
        <v>56</v>
      </c>
    </row>
    <row r="733" spans="1:11" x14ac:dyDescent="0.3">
      <c r="A733" t="s">
        <v>1480</v>
      </c>
      <c r="B733" t="s">
        <v>1481</v>
      </c>
      <c r="C733">
        <v>126</v>
      </c>
      <c r="D733" t="s">
        <v>15</v>
      </c>
      <c r="E733" s="1">
        <v>44708</v>
      </c>
      <c r="F733">
        <v>6.3</v>
      </c>
      <c r="G733">
        <v>3600</v>
      </c>
      <c r="H733">
        <v>6.6</v>
      </c>
      <c r="I733">
        <v>390</v>
      </c>
      <c r="J733">
        <v>53</v>
      </c>
      <c r="K733">
        <v>56</v>
      </c>
    </row>
    <row r="734" spans="1:11" x14ac:dyDescent="0.3">
      <c r="A734" t="s">
        <v>1482</v>
      </c>
      <c r="B734" t="s">
        <v>1483</v>
      </c>
      <c r="C734">
        <v>97</v>
      </c>
      <c r="D734" t="s">
        <v>28</v>
      </c>
      <c r="E734" s="1">
        <v>44645</v>
      </c>
      <c r="F734">
        <v>5.3</v>
      </c>
      <c r="G734">
        <v>12000</v>
      </c>
      <c r="H734">
        <v>5.7</v>
      </c>
      <c r="I734">
        <v>352</v>
      </c>
      <c r="J734">
        <v>56</v>
      </c>
      <c r="K734">
        <v>56</v>
      </c>
    </row>
    <row r="735" spans="1:11" x14ac:dyDescent="0.3">
      <c r="A735" t="s">
        <v>1484</v>
      </c>
      <c r="B735" t="s">
        <v>1485</v>
      </c>
      <c r="C735">
        <v>106</v>
      </c>
      <c r="D735" t="s">
        <v>28</v>
      </c>
      <c r="E735" s="1">
        <v>44617</v>
      </c>
      <c r="F735">
        <v>5.6</v>
      </c>
      <c r="G735">
        <v>16000</v>
      </c>
      <c r="H735">
        <v>5.8849999999999998</v>
      </c>
      <c r="I735">
        <v>343</v>
      </c>
      <c r="J735">
        <v>50</v>
      </c>
      <c r="K735">
        <v>56</v>
      </c>
    </row>
    <row r="736" spans="1:11" x14ac:dyDescent="0.3">
      <c r="A736" t="s">
        <v>1486</v>
      </c>
      <c r="B736" t="s">
        <v>1487</v>
      </c>
      <c r="C736">
        <v>103</v>
      </c>
      <c r="D736" t="s">
        <v>28</v>
      </c>
      <c r="E736" s="1">
        <v>45716</v>
      </c>
      <c r="F736">
        <v>5.9</v>
      </c>
      <c r="G736">
        <v>1700</v>
      </c>
      <c r="H736">
        <v>5.7460000000000004</v>
      </c>
      <c r="I736">
        <v>112</v>
      </c>
      <c r="J736">
        <v>47</v>
      </c>
      <c r="K736">
        <v>55</v>
      </c>
    </row>
    <row r="737" spans="1:11" x14ac:dyDescent="0.3">
      <c r="A737" t="s">
        <v>1488</v>
      </c>
      <c r="B737" t="s">
        <v>1489</v>
      </c>
      <c r="C737">
        <v>91</v>
      </c>
      <c r="D737" t="s">
        <v>28</v>
      </c>
      <c r="E737" s="1">
        <v>45622</v>
      </c>
      <c r="F737">
        <v>5.6</v>
      </c>
      <c r="G737">
        <v>20000</v>
      </c>
      <c r="H737">
        <v>6.415</v>
      </c>
      <c r="I737">
        <v>941</v>
      </c>
      <c r="J737">
        <v>50</v>
      </c>
      <c r="K737">
        <v>55</v>
      </c>
    </row>
    <row r="738" spans="1:11" x14ac:dyDescent="0.3">
      <c r="A738" t="s">
        <v>1490</v>
      </c>
      <c r="B738" t="s">
        <v>1491</v>
      </c>
      <c r="C738">
        <v>104</v>
      </c>
      <c r="D738" t="s">
        <v>12</v>
      </c>
      <c r="E738" s="1">
        <v>45534</v>
      </c>
      <c r="F738">
        <v>5.8</v>
      </c>
      <c r="G738">
        <v>1300</v>
      </c>
      <c r="H738">
        <v>7.2</v>
      </c>
      <c r="I738">
        <v>43</v>
      </c>
      <c r="J738">
        <v>43</v>
      </c>
      <c r="K738">
        <v>55</v>
      </c>
    </row>
    <row r="739" spans="1:11" x14ac:dyDescent="0.3">
      <c r="A739" t="s">
        <v>1492</v>
      </c>
      <c r="B739" t="s">
        <v>1493</v>
      </c>
      <c r="C739">
        <v>94</v>
      </c>
      <c r="D739" t="s">
        <v>28</v>
      </c>
      <c r="E739" s="1">
        <v>45517</v>
      </c>
      <c r="F739">
        <v>6.3</v>
      </c>
      <c r="G739">
        <v>20000</v>
      </c>
      <c r="H739">
        <v>6.8650000000000002</v>
      </c>
      <c r="I739">
        <v>646</v>
      </c>
      <c r="J739">
        <v>48</v>
      </c>
      <c r="K739">
        <v>55</v>
      </c>
    </row>
    <row r="740" spans="1:11" x14ac:dyDescent="0.3">
      <c r="A740" t="s">
        <v>1494</v>
      </c>
      <c r="B740" t="s">
        <v>1495</v>
      </c>
      <c r="C740">
        <v>130</v>
      </c>
      <c r="D740" t="s">
        <v>15</v>
      </c>
      <c r="E740" s="1">
        <v>45513</v>
      </c>
      <c r="F740">
        <v>6.4</v>
      </c>
      <c r="G740">
        <v>82000</v>
      </c>
      <c r="H740">
        <v>6.9409999999999998</v>
      </c>
      <c r="I740">
        <v>1886</v>
      </c>
      <c r="J740">
        <v>53</v>
      </c>
      <c r="K740">
        <v>55</v>
      </c>
    </row>
    <row r="741" spans="1:11" x14ac:dyDescent="0.3">
      <c r="A741" t="s">
        <v>1496</v>
      </c>
      <c r="B741" t="s">
        <v>1497</v>
      </c>
      <c r="C741">
        <v>94</v>
      </c>
      <c r="D741" t="s">
        <v>12</v>
      </c>
      <c r="E741" s="1">
        <v>45476</v>
      </c>
      <c r="F741">
        <v>6.2</v>
      </c>
      <c r="G741">
        <v>63000</v>
      </c>
      <c r="H741">
        <v>6.9820000000000002</v>
      </c>
      <c r="I741">
        <v>3147</v>
      </c>
      <c r="J741">
        <v>52</v>
      </c>
      <c r="K741">
        <v>55</v>
      </c>
    </row>
    <row r="742" spans="1:11" x14ac:dyDescent="0.3">
      <c r="A742" t="s">
        <v>1498</v>
      </c>
      <c r="B742" t="s">
        <v>1499</v>
      </c>
      <c r="C742">
        <v>87</v>
      </c>
      <c r="D742" t="s">
        <v>28</v>
      </c>
      <c r="E742" s="1">
        <v>45261</v>
      </c>
      <c r="F742">
        <v>5.2</v>
      </c>
      <c r="G742">
        <v>8600</v>
      </c>
      <c r="H742">
        <v>5.0609999999999999</v>
      </c>
      <c r="I742">
        <v>180</v>
      </c>
      <c r="J742">
        <v>52</v>
      </c>
      <c r="K742">
        <v>55</v>
      </c>
    </row>
    <row r="743" spans="1:11" x14ac:dyDescent="0.3">
      <c r="A743" t="s">
        <v>1500</v>
      </c>
      <c r="B743" t="s">
        <v>1501</v>
      </c>
      <c r="C743">
        <v>109</v>
      </c>
      <c r="D743" t="s">
        <v>12</v>
      </c>
      <c r="E743" s="1">
        <v>44831</v>
      </c>
      <c r="F743">
        <v>4.5</v>
      </c>
      <c r="G743">
        <v>12000</v>
      </c>
      <c r="H743">
        <v>5.5940000000000003</v>
      </c>
      <c r="I743">
        <v>266</v>
      </c>
      <c r="J743">
        <v>57</v>
      </c>
      <c r="K743">
        <v>55</v>
      </c>
    </row>
    <row r="744" spans="1:11" x14ac:dyDescent="0.3">
      <c r="A744" t="s">
        <v>1502</v>
      </c>
      <c r="B744" t="s">
        <v>1503</v>
      </c>
      <c r="C744">
        <v>133</v>
      </c>
      <c r="D744" t="s">
        <v>28</v>
      </c>
      <c r="E744" s="1">
        <v>45674</v>
      </c>
      <c r="F744">
        <v>5.8</v>
      </c>
      <c r="G744">
        <v>1900</v>
      </c>
      <c r="H744">
        <v>6.2</v>
      </c>
      <c r="I744">
        <v>236</v>
      </c>
      <c r="J744">
        <v>53</v>
      </c>
      <c r="K744">
        <v>54</v>
      </c>
    </row>
    <row r="745" spans="1:11" x14ac:dyDescent="0.3">
      <c r="A745" t="s">
        <v>1504</v>
      </c>
      <c r="B745" t="s">
        <v>1505</v>
      </c>
      <c r="C745">
        <v>103</v>
      </c>
      <c r="D745" t="s">
        <v>15</v>
      </c>
      <c r="E745" s="1">
        <v>45548</v>
      </c>
      <c r="F745">
        <v>6.5</v>
      </c>
      <c r="G745">
        <v>2300</v>
      </c>
      <c r="H745">
        <v>7</v>
      </c>
      <c r="I745">
        <v>67</v>
      </c>
      <c r="J745">
        <v>56</v>
      </c>
      <c r="K745">
        <v>54</v>
      </c>
    </row>
    <row r="746" spans="1:11" x14ac:dyDescent="0.3">
      <c r="A746" t="s">
        <v>1506</v>
      </c>
      <c r="B746" t="s">
        <v>1507</v>
      </c>
      <c r="C746">
        <v>115</v>
      </c>
      <c r="D746" t="s">
        <v>15</v>
      </c>
      <c r="E746" s="1">
        <v>45380</v>
      </c>
      <c r="F746">
        <v>6.1</v>
      </c>
      <c r="G746">
        <v>120000</v>
      </c>
      <c r="H746">
        <v>7.0469999999999997</v>
      </c>
      <c r="I746">
        <v>4590</v>
      </c>
      <c r="J746">
        <v>47</v>
      </c>
      <c r="K746">
        <v>54</v>
      </c>
    </row>
    <row r="747" spans="1:11" x14ac:dyDescent="0.3">
      <c r="A747" t="s">
        <v>1508</v>
      </c>
      <c r="B747" t="s">
        <v>1509</v>
      </c>
      <c r="C747">
        <v>100</v>
      </c>
      <c r="D747" t="s">
        <v>63</v>
      </c>
      <c r="E747" s="1">
        <v>45317</v>
      </c>
      <c r="F747">
        <v>5</v>
      </c>
      <c r="G747">
        <v>2200</v>
      </c>
      <c r="H747">
        <v>5.09</v>
      </c>
      <c r="I747">
        <v>78</v>
      </c>
      <c r="J747">
        <v>47</v>
      </c>
      <c r="K747">
        <v>54</v>
      </c>
    </row>
    <row r="748" spans="1:11" x14ac:dyDescent="0.3">
      <c r="A748" t="s">
        <v>1510</v>
      </c>
      <c r="B748" t="s">
        <v>1511</v>
      </c>
      <c r="C748">
        <v>100</v>
      </c>
      <c r="D748" t="s">
        <v>15</v>
      </c>
      <c r="E748" s="1">
        <v>45163</v>
      </c>
      <c r="F748">
        <v>6</v>
      </c>
      <c r="G748">
        <v>14000</v>
      </c>
      <c r="H748">
        <v>6.3</v>
      </c>
      <c r="I748">
        <v>200</v>
      </c>
      <c r="J748">
        <v>48</v>
      </c>
      <c r="K748">
        <v>54</v>
      </c>
    </row>
    <row r="749" spans="1:11" x14ac:dyDescent="0.3">
      <c r="A749" t="s">
        <v>1512</v>
      </c>
      <c r="B749" t="s">
        <v>1513</v>
      </c>
      <c r="C749">
        <v>120</v>
      </c>
      <c r="D749" t="s">
        <v>15</v>
      </c>
      <c r="E749" s="1">
        <v>44981</v>
      </c>
      <c r="F749">
        <v>7.1</v>
      </c>
      <c r="G749">
        <v>15000</v>
      </c>
      <c r="H749">
        <v>6.8</v>
      </c>
      <c r="I749">
        <v>172</v>
      </c>
      <c r="J749">
        <v>46</v>
      </c>
      <c r="K749">
        <v>54</v>
      </c>
    </row>
    <row r="750" spans="1:11" x14ac:dyDescent="0.3">
      <c r="A750" t="s">
        <v>1514</v>
      </c>
      <c r="B750" t="s">
        <v>1515</v>
      </c>
      <c r="C750">
        <v>134</v>
      </c>
      <c r="D750" t="s">
        <v>25</v>
      </c>
      <c r="E750" s="1">
        <v>44820</v>
      </c>
      <c r="F750">
        <v>6.7</v>
      </c>
      <c r="G750">
        <v>8100</v>
      </c>
      <c r="H750">
        <v>6.6879999999999997</v>
      </c>
      <c r="I750">
        <v>85</v>
      </c>
      <c r="J750">
        <v>42</v>
      </c>
      <c r="K750">
        <v>54</v>
      </c>
    </row>
    <row r="751" spans="1:11" x14ac:dyDescent="0.3">
      <c r="A751" t="s">
        <v>1516</v>
      </c>
      <c r="B751" t="s">
        <v>1517</v>
      </c>
      <c r="C751">
        <v>103</v>
      </c>
      <c r="D751" t="s">
        <v>28</v>
      </c>
      <c r="E751" s="1">
        <v>45282</v>
      </c>
      <c r="F751">
        <v>6.1</v>
      </c>
      <c r="G751">
        <v>141000</v>
      </c>
      <c r="H751">
        <v>6.79</v>
      </c>
      <c r="I751">
        <v>3006</v>
      </c>
      <c r="J751">
        <v>52</v>
      </c>
      <c r="K751">
        <v>53</v>
      </c>
    </row>
    <row r="752" spans="1:11" x14ac:dyDescent="0.3">
      <c r="A752" t="s">
        <v>1518</v>
      </c>
      <c r="B752" t="s">
        <v>1519</v>
      </c>
      <c r="C752">
        <v>119</v>
      </c>
      <c r="D752" t="s">
        <v>28</v>
      </c>
      <c r="E752" s="1">
        <v>45022</v>
      </c>
      <c r="F752">
        <v>6.6</v>
      </c>
      <c r="G752">
        <v>51000</v>
      </c>
      <c r="H752">
        <v>6.8609999999999998</v>
      </c>
      <c r="I752">
        <v>1296</v>
      </c>
      <c r="J752">
        <v>43</v>
      </c>
      <c r="K752">
        <v>53</v>
      </c>
    </row>
    <row r="753" spans="1:11" x14ac:dyDescent="0.3">
      <c r="A753" t="s">
        <v>1520</v>
      </c>
      <c r="B753" t="s">
        <v>1521</v>
      </c>
      <c r="C753">
        <v>114</v>
      </c>
      <c r="D753" t="s">
        <v>15</v>
      </c>
      <c r="E753" s="1">
        <v>44890</v>
      </c>
      <c r="F753">
        <v>6.9</v>
      </c>
      <c r="G753">
        <v>2400</v>
      </c>
      <c r="H753">
        <v>7.3650000000000002</v>
      </c>
      <c r="I753">
        <v>426</v>
      </c>
      <c r="J753">
        <v>41</v>
      </c>
      <c r="K753">
        <v>53</v>
      </c>
    </row>
    <row r="754" spans="1:11" x14ac:dyDescent="0.3">
      <c r="A754" t="s">
        <v>1522</v>
      </c>
      <c r="B754" t="s">
        <v>1523</v>
      </c>
      <c r="C754">
        <v>107</v>
      </c>
      <c r="D754" t="s">
        <v>28</v>
      </c>
      <c r="E754" s="1">
        <v>45744</v>
      </c>
      <c r="F754">
        <v>5.7</v>
      </c>
      <c r="G754">
        <v>711</v>
      </c>
      <c r="H754">
        <v>6.4029999999999996</v>
      </c>
      <c r="I754">
        <v>786</v>
      </c>
      <c r="J754">
        <v>55</v>
      </c>
      <c r="K754">
        <v>52</v>
      </c>
    </row>
    <row r="755" spans="1:11" x14ac:dyDescent="0.3">
      <c r="A755" t="s">
        <v>1524</v>
      </c>
      <c r="B755" t="s">
        <v>1525</v>
      </c>
      <c r="C755">
        <v>101</v>
      </c>
      <c r="D755" t="s">
        <v>15</v>
      </c>
      <c r="E755" s="1">
        <v>45331</v>
      </c>
      <c r="F755">
        <v>6.1</v>
      </c>
      <c r="G755">
        <v>28000</v>
      </c>
      <c r="H755">
        <v>6.3</v>
      </c>
      <c r="I755">
        <v>558</v>
      </c>
      <c r="J755">
        <v>47</v>
      </c>
      <c r="K755">
        <v>52</v>
      </c>
    </row>
    <row r="756" spans="1:11" x14ac:dyDescent="0.3">
      <c r="A756" t="s">
        <v>1526</v>
      </c>
      <c r="B756" t="s">
        <v>1527</v>
      </c>
      <c r="C756">
        <v>127</v>
      </c>
      <c r="D756" t="s">
        <v>28</v>
      </c>
      <c r="E756" s="1">
        <v>44778</v>
      </c>
      <c r="F756">
        <v>7.3</v>
      </c>
      <c r="G756">
        <v>487000</v>
      </c>
      <c r="H756">
        <v>7.4</v>
      </c>
      <c r="I756">
        <v>7407</v>
      </c>
      <c r="J756">
        <v>49</v>
      </c>
      <c r="K756">
        <v>52</v>
      </c>
    </row>
    <row r="757" spans="1:11" x14ac:dyDescent="0.3">
      <c r="A757" t="s">
        <v>1528</v>
      </c>
      <c r="B757" t="s">
        <v>1529</v>
      </c>
      <c r="C757">
        <v>97</v>
      </c>
      <c r="D757" t="s">
        <v>28</v>
      </c>
      <c r="E757" s="1">
        <v>45709</v>
      </c>
      <c r="F757">
        <v>4.9000000000000004</v>
      </c>
      <c r="G757">
        <v>3300</v>
      </c>
      <c r="H757">
        <v>6.3</v>
      </c>
      <c r="I757">
        <v>451</v>
      </c>
      <c r="J757">
        <v>52</v>
      </c>
      <c r="K757">
        <v>51</v>
      </c>
    </row>
    <row r="758" spans="1:11" x14ac:dyDescent="0.3">
      <c r="A758" t="s">
        <v>1530</v>
      </c>
      <c r="B758" t="s">
        <v>1531</v>
      </c>
      <c r="C758">
        <v>101</v>
      </c>
      <c r="D758" t="s">
        <v>28</v>
      </c>
      <c r="E758" s="1">
        <v>45548</v>
      </c>
      <c r="F758">
        <v>6</v>
      </c>
      <c r="G758">
        <v>4600</v>
      </c>
      <c r="H758">
        <v>5.8</v>
      </c>
      <c r="I758">
        <v>106</v>
      </c>
      <c r="J758">
        <v>54</v>
      </c>
      <c r="K758">
        <v>51</v>
      </c>
    </row>
    <row r="759" spans="1:11" x14ac:dyDescent="0.3">
      <c r="A759" t="s">
        <v>1532</v>
      </c>
      <c r="B759" t="s">
        <v>1533</v>
      </c>
      <c r="C759">
        <v>181</v>
      </c>
      <c r="D759" t="s">
        <v>28</v>
      </c>
      <c r="E759" s="1">
        <v>45471</v>
      </c>
      <c r="F759">
        <v>6.7</v>
      </c>
      <c r="G759">
        <v>39000</v>
      </c>
      <c r="H759">
        <v>6.8140000000000001</v>
      </c>
      <c r="I759">
        <v>640</v>
      </c>
      <c r="J759">
        <v>49</v>
      </c>
      <c r="K759">
        <v>51</v>
      </c>
    </row>
    <row r="760" spans="1:11" x14ac:dyDescent="0.3">
      <c r="A760" t="s">
        <v>1534</v>
      </c>
      <c r="B760" t="s">
        <v>1535</v>
      </c>
      <c r="C760">
        <v>104</v>
      </c>
      <c r="D760" t="s">
        <v>12</v>
      </c>
      <c r="E760" s="1">
        <v>45429</v>
      </c>
      <c r="F760">
        <v>6.4</v>
      </c>
      <c r="G760">
        <v>57000</v>
      </c>
      <c r="H760">
        <v>6.9630000000000001</v>
      </c>
      <c r="I760">
        <v>1575</v>
      </c>
      <c r="J760">
        <v>46</v>
      </c>
      <c r="K760">
        <v>51</v>
      </c>
    </row>
    <row r="761" spans="1:11" x14ac:dyDescent="0.3">
      <c r="A761" t="s">
        <v>1536</v>
      </c>
      <c r="B761" t="s">
        <v>1537</v>
      </c>
      <c r="C761">
        <v>103</v>
      </c>
      <c r="D761" t="s">
        <v>28</v>
      </c>
      <c r="E761" s="1">
        <v>45233</v>
      </c>
      <c r="F761">
        <v>4.8</v>
      </c>
      <c r="G761">
        <v>4500</v>
      </c>
      <c r="H761">
        <v>4.8</v>
      </c>
      <c r="I761">
        <v>92</v>
      </c>
      <c r="J761">
        <v>59</v>
      </c>
      <c r="K761">
        <v>51</v>
      </c>
    </row>
    <row r="762" spans="1:11" x14ac:dyDescent="0.3">
      <c r="A762" t="s">
        <v>1538</v>
      </c>
      <c r="B762" t="s">
        <v>1539</v>
      </c>
      <c r="C762">
        <v>110</v>
      </c>
      <c r="D762" t="s">
        <v>28</v>
      </c>
      <c r="E762" s="1">
        <v>45177</v>
      </c>
      <c r="F762">
        <v>5.6</v>
      </c>
      <c r="G762">
        <v>69000</v>
      </c>
      <c r="H762">
        <v>6.6</v>
      </c>
      <c r="I762">
        <v>2432</v>
      </c>
      <c r="J762">
        <v>47</v>
      </c>
      <c r="K762">
        <v>51</v>
      </c>
    </row>
    <row r="763" spans="1:11" x14ac:dyDescent="0.3">
      <c r="A763" t="s">
        <v>1540</v>
      </c>
      <c r="B763" t="s">
        <v>1541</v>
      </c>
      <c r="C763">
        <v>127</v>
      </c>
      <c r="D763" t="s">
        <v>15</v>
      </c>
      <c r="E763" s="1">
        <v>45086</v>
      </c>
      <c r="F763">
        <v>6</v>
      </c>
      <c r="G763">
        <v>120000</v>
      </c>
      <c r="H763">
        <v>7.1749999999999998</v>
      </c>
      <c r="I763">
        <v>5222</v>
      </c>
      <c r="J763">
        <v>42</v>
      </c>
      <c r="K763">
        <v>51</v>
      </c>
    </row>
    <row r="764" spans="1:11" x14ac:dyDescent="0.3">
      <c r="A764" t="s">
        <v>1542</v>
      </c>
      <c r="B764" t="s">
        <v>1543</v>
      </c>
      <c r="C764">
        <v>103</v>
      </c>
      <c r="D764" t="s">
        <v>28</v>
      </c>
      <c r="E764" s="1">
        <v>45030</v>
      </c>
      <c r="F764">
        <v>6.1</v>
      </c>
      <c r="G764">
        <v>95000</v>
      </c>
      <c r="H764">
        <v>6.9</v>
      </c>
      <c r="I764">
        <v>3108</v>
      </c>
      <c r="J764">
        <v>45</v>
      </c>
      <c r="K764">
        <v>51</v>
      </c>
    </row>
    <row r="765" spans="1:11" x14ac:dyDescent="0.3">
      <c r="A765" t="s">
        <v>1544</v>
      </c>
      <c r="B765" t="s">
        <v>1545</v>
      </c>
      <c r="C765">
        <v>114</v>
      </c>
      <c r="D765" t="s">
        <v>28</v>
      </c>
      <c r="E765" s="1">
        <v>44988</v>
      </c>
      <c r="F765">
        <v>6.3</v>
      </c>
      <c r="G765">
        <v>99000</v>
      </c>
      <c r="H765">
        <v>6.4619999999999997</v>
      </c>
      <c r="I765">
        <v>1901</v>
      </c>
      <c r="J765">
        <v>51</v>
      </c>
      <c r="K765">
        <v>51</v>
      </c>
    </row>
    <row r="766" spans="1:11" x14ac:dyDescent="0.3">
      <c r="A766" t="s">
        <v>1546</v>
      </c>
      <c r="B766" t="s">
        <v>1547</v>
      </c>
      <c r="C766">
        <v>104</v>
      </c>
      <c r="D766" t="s">
        <v>15</v>
      </c>
      <c r="E766" s="1">
        <v>45359</v>
      </c>
      <c r="F766">
        <v>5.9</v>
      </c>
      <c r="G766">
        <v>766</v>
      </c>
      <c r="H766">
        <v>6.2</v>
      </c>
      <c r="I766">
        <v>16</v>
      </c>
      <c r="J766">
        <v>51</v>
      </c>
      <c r="K766">
        <v>50</v>
      </c>
    </row>
    <row r="767" spans="1:11" x14ac:dyDescent="0.3">
      <c r="A767" t="s">
        <v>1548</v>
      </c>
      <c r="B767" t="s">
        <v>1549</v>
      </c>
      <c r="C767">
        <v>107</v>
      </c>
      <c r="D767" t="s">
        <v>28</v>
      </c>
      <c r="E767" s="1">
        <v>45352</v>
      </c>
      <c r="F767">
        <v>5.7</v>
      </c>
      <c r="G767">
        <v>42000</v>
      </c>
      <c r="H767">
        <v>6.7050000000000001</v>
      </c>
      <c r="I767">
        <v>1024</v>
      </c>
      <c r="J767">
        <v>55</v>
      </c>
      <c r="K767">
        <v>50</v>
      </c>
    </row>
    <row r="768" spans="1:11" x14ac:dyDescent="0.3">
      <c r="A768" t="s">
        <v>1550</v>
      </c>
      <c r="B768" t="s">
        <v>1551</v>
      </c>
      <c r="C768">
        <v>92</v>
      </c>
      <c r="D768" t="s">
        <v>28</v>
      </c>
      <c r="E768" s="1">
        <v>44893</v>
      </c>
      <c r="F768">
        <v>4.9000000000000004</v>
      </c>
      <c r="G768">
        <v>2500</v>
      </c>
      <c r="H768">
        <v>4.9000000000000004</v>
      </c>
      <c r="I768">
        <v>49</v>
      </c>
      <c r="J768">
        <v>53</v>
      </c>
      <c r="K768">
        <v>50</v>
      </c>
    </row>
    <row r="769" spans="1:11" x14ac:dyDescent="0.3">
      <c r="A769" t="s">
        <v>1552</v>
      </c>
      <c r="B769" t="s">
        <v>1553</v>
      </c>
      <c r="C769">
        <v>101</v>
      </c>
      <c r="D769" t="s">
        <v>90</v>
      </c>
      <c r="E769" s="1">
        <v>44700</v>
      </c>
      <c r="F769">
        <v>6.1</v>
      </c>
      <c r="G769">
        <v>18000</v>
      </c>
      <c r="H769">
        <v>6.8360000000000003</v>
      </c>
      <c r="I769">
        <v>592</v>
      </c>
      <c r="J769">
        <v>55</v>
      </c>
      <c r="K769">
        <v>50</v>
      </c>
    </row>
    <row r="770" spans="1:11" x14ac:dyDescent="0.3">
      <c r="A770" t="s">
        <v>1554</v>
      </c>
      <c r="B770">
        <v>2073</v>
      </c>
      <c r="C770">
        <v>85</v>
      </c>
      <c r="D770" t="s">
        <v>28</v>
      </c>
      <c r="E770" s="1">
        <v>45653</v>
      </c>
      <c r="F770">
        <v>5.2</v>
      </c>
      <c r="G770">
        <v>1600</v>
      </c>
      <c r="H770">
        <v>6.6289999999999996</v>
      </c>
      <c r="I770">
        <v>101</v>
      </c>
      <c r="J770">
        <v>52</v>
      </c>
      <c r="K770">
        <v>49</v>
      </c>
    </row>
    <row r="771" spans="1:11" x14ac:dyDescent="0.3">
      <c r="A771" t="s">
        <v>1555</v>
      </c>
      <c r="B771" t="s">
        <v>1556</v>
      </c>
      <c r="C771">
        <v>134</v>
      </c>
      <c r="D771" t="s">
        <v>15</v>
      </c>
      <c r="E771" s="1">
        <v>45639</v>
      </c>
      <c r="F771">
        <v>6.3</v>
      </c>
      <c r="G771">
        <v>28000</v>
      </c>
      <c r="H771">
        <v>6.5449999999999999</v>
      </c>
      <c r="I771">
        <v>833</v>
      </c>
      <c r="J771">
        <v>54</v>
      </c>
      <c r="K771">
        <v>49</v>
      </c>
    </row>
    <row r="772" spans="1:11" x14ac:dyDescent="0.3">
      <c r="A772" t="s">
        <v>1557</v>
      </c>
      <c r="B772" t="s">
        <v>1558</v>
      </c>
      <c r="C772">
        <v>93</v>
      </c>
      <c r="D772" t="s">
        <v>28</v>
      </c>
      <c r="E772" s="1">
        <v>45632</v>
      </c>
      <c r="F772">
        <v>4.4000000000000004</v>
      </c>
      <c r="G772">
        <v>6100</v>
      </c>
      <c r="H772">
        <v>5.851</v>
      </c>
      <c r="I772">
        <v>481</v>
      </c>
      <c r="J772">
        <v>46</v>
      </c>
      <c r="K772">
        <v>49</v>
      </c>
    </row>
    <row r="773" spans="1:11" x14ac:dyDescent="0.3">
      <c r="A773" t="s">
        <v>1559</v>
      </c>
      <c r="B773" t="s">
        <v>1560</v>
      </c>
      <c r="C773">
        <v>98</v>
      </c>
      <c r="D773" t="s">
        <v>28</v>
      </c>
      <c r="E773" s="1">
        <v>45359</v>
      </c>
      <c r="F773">
        <v>6</v>
      </c>
      <c r="G773">
        <v>2300</v>
      </c>
      <c r="H773">
        <v>5.8220000000000001</v>
      </c>
      <c r="I773">
        <v>73</v>
      </c>
      <c r="J773">
        <v>53</v>
      </c>
      <c r="K773">
        <v>49</v>
      </c>
    </row>
    <row r="774" spans="1:11" x14ac:dyDescent="0.3">
      <c r="A774" t="s">
        <v>1561</v>
      </c>
      <c r="B774" t="s">
        <v>1562</v>
      </c>
      <c r="C774">
        <v>130</v>
      </c>
      <c r="D774" t="s">
        <v>15</v>
      </c>
      <c r="E774" s="1">
        <v>45002</v>
      </c>
      <c r="F774">
        <v>5.9</v>
      </c>
      <c r="G774">
        <v>135000</v>
      </c>
      <c r="H774">
        <v>6.4279999999999999</v>
      </c>
      <c r="I774">
        <v>3598</v>
      </c>
      <c r="J774">
        <v>47</v>
      </c>
      <c r="K774">
        <v>49</v>
      </c>
    </row>
    <row r="775" spans="1:11" x14ac:dyDescent="0.3">
      <c r="A775" t="s">
        <v>1563</v>
      </c>
      <c r="B775" t="s">
        <v>1564</v>
      </c>
      <c r="C775">
        <v>109</v>
      </c>
      <c r="D775" t="s">
        <v>28</v>
      </c>
      <c r="E775" s="1">
        <v>45687</v>
      </c>
      <c r="F775">
        <v>5.5</v>
      </c>
      <c r="G775">
        <v>24000</v>
      </c>
      <c r="H775">
        <v>5.8</v>
      </c>
      <c r="I775">
        <v>434</v>
      </c>
      <c r="J775">
        <v>51</v>
      </c>
      <c r="K775">
        <v>48</v>
      </c>
    </row>
    <row r="776" spans="1:11" x14ac:dyDescent="0.3">
      <c r="A776" t="s">
        <v>1565</v>
      </c>
      <c r="B776" t="s">
        <v>1566</v>
      </c>
      <c r="C776">
        <v>103</v>
      </c>
      <c r="D776" t="s">
        <v>28</v>
      </c>
      <c r="E776" s="1">
        <v>45674</v>
      </c>
      <c r="F776">
        <v>5.6</v>
      </c>
      <c r="G776">
        <v>23000</v>
      </c>
      <c r="H776">
        <v>6.1920000000000002</v>
      </c>
      <c r="I776">
        <v>949</v>
      </c>
      <c r="J776">
        <v>50</v>
      </c>
      <c r="K776">
        <v>48</v>
      </c>
    </row>
    <row r="777" spans="1:11" x14ac:dyDescent="0.3">
      <c r="A777" t="s">
        <v>1567</v>
      </c>
      <c r="B777" t="s">
        <v>1568</v>
      </c>
      <c r="C777">
        <v>109</v>
      </c>
      <c r="D777" t="s">
        <v>12</v>
      </c>
      <c r="E777" s="1">
        <v>45618</v>
      </c>
      <c r="F777">
        <v>5.6</v>
      </c>
      <c r="G777">
        <v>6700</v>
      </c>
      <c r="H777">
        <v>6.6</v>
      </c>
      <c r="I777">
        <v>303</v>
      </c>
      <c r="J777">
        <v>54</v>
      </c>
      <c r="K777">
        <v>48</v>
      </c>
    </row>
    <row r="778" spans="1:11" x14ac:dyDescent="0.3">
      <c r="A778" t="s">
        <v>1569</v>
      </c>
      <c r="B778" t="s">
        <v>1570</v>
      </c>
      <c r="C778">
        <v>95</v>
      </c>
      <c r="D778" t="s">
        <v>12</v>
      </c>
      <c r="E778" s="1">
        <v>45252</v>
      </c>
      <c r="F778">
        <v>5.6</v>
      </c>
      <c r="G778">
        <v>46000</v>
      </c>
      <c r="H778">
        <v>6.2220000000000004</v>
      </c>
      <c r="I778">
        <v>1760</v>
      </c>
      <c r="J778">
        <v>47</v>
      </c>
      <c r="K778">
        <v>48</v>
      </c>
    </row>
    <row r="779" spans="1:11" x14ac:dyDescent="0.3">
      <c r="A779" t="s">
        <v>1571</v>
      </c>
      <c r="B779" t="s">
        <v>1572</v>
      </c>
      <c r="C779">
        <v>102</v>
      </c>
      <c r="D779" t="s">
        <v>28</v>
      </c>
      <c r="E779" s="1">
        <v>45211</v>
      </c>
      <c r="F779">
        <v>6</v>
      </c>
      <c r="G779">
        <v>8000</v>
      </c>
      <c r="H779">
        <v>6.1210000000000004</v>
      </c>
      <c r="I779">
        <v>161</v>
      </c>
      <c r="J779">
        <v>53</v>
      </c>
      <c r="K779">
        <v>48</v>
      </c>
    </row>
    <row r="780" spans="1:11" x14ac:dyDescent="0.3">
      <c r="A780" t="s">
        <v>1573</v>
      </c>
      <c r="B780" t="s">
        <v>1574</v>
      </c>
      <c r="C780">
        <v>112</v>
      </c>
      <c r="D780" t="s">
        <v>28</v>
      </c>
      <c r="E780" s="1">
        <v>44967</v>
      </c>
      <c r="F780">
        <v>5.2</v>
      </c>
      <c r="G780">
        <v>19000</v>
      </c>
      <c r="H780">
        <v>6.4</v>
      </c>
      <c r="I780">
        <v>584</v>
      </c>
      <c r="J780">
        <v>52</v>
      </c>
      <c r="K780">
        <v>48</v>
      </c>
    </row>
    <row r="781" spans="1:11" x14ac:dyDescent="0.3">
      <c r="A781" t="s">
        <v>1575</v>
      </c>
      <c r="B781" t="s">
        <v>1576</v>
      </c>
      <c r="C781">
        <v>105</v>
      </c>
      <c r="D781" t="s">
        <v>862</v>
      </c>
      <c r="E781" s="1">
        <v>44778</v>
      </c>
      <c r="F781">
        <v>6.4</v>
      </c>
      <c r="G781">
        <v>32000</v>
      </c>
      <c r="H781">
        <v>7.7279999999999998</v>
      </c>
      <c r="I781">
        <v>1926</v>
      </c>
      <c r="J781">
        <v>48</v>
      </c>
      <c r="K781">
        <v>48</v>
      </c>
    </row>
    <row r="782" spans="1:11" x14ac:dyDescent="0.3">
      <c r="A782" t="s">
        <v>1577</v>
      </c>
      <c r="B782" t="s">
        <v>1578</v>
      </c>
      <c r="C782">
        <v>94</v>
      </c>
      <c r="D782" t="s">
        <v>28</v>
      </c>
      <c r="E782" s="1">
        <v>45729</v>
      </c>
      <c r="F782">
        <v>5.7</v>
      </c>
      <c r="G782">
        <v>4000</v>
      </c>
      <c r="H782">
        <v>6</v>
      </c>
      <c r="I782">
        <v>149</v>
      </c>
      <c r="J782">
        <v>45</v>
      </c>
      <c r="K782">
        <v>47</v>
      </c>
    </row>
    <row r="783" spans="1:11" x14ac:dyDescent="0.3">
      <c r="A783" t="s">
        <v>1579</v>
      </c>
      <c r="B783" t="s">
        <v>1580</v>
      </c>
      <c r="C783">
        <v>137</v>
      </c>
      <c r="D783" t="s">
        <v>28</v>
      </c>
      <c r="E783" s="1">
        <v>45589</v>
      </c>
      <c r="F783">
        <v>6.6</v>
      </c>
      <c r="G783">
        <v>9600</v>
      </c>
      <c r="H783">
        <v>6.6909999999999998</v>
      </c>
      <c r="I783">
        <v>734</v>
      </c>
      <c r="J783">
        <v>52</v>
      </c>
      <c r="K783">
        <v>47</v>
      </c>
    </row>
    <row r="784" spans="1:11" x14ac:dyDescent="0.3">
      <c r="A784" t="s">
        <v>1581</v>
      </c>
      <c r="B784" t="s">
        <v>1582</v>
      </c>
      <c r="C784">
        <v>112</v>
      </c>
      <c r="D784" t="s">
        <v>28</v>
      </c>
      <c r="E784" s="1">
        <v>45308</v>
      </c>
      <c r="F784">
        <v>5.3</v>
      </c>
      <c r="G784">
        <v>3500</v>
      </c>
      <c r="H784">
        <v>5.5369999999999999</v>
      </c>
      <c r="I784">
        <v>94</v>
      </c>
      <c r="J784">
        <v>47</v>
      </c>
      <c r="K784">
        <v>47</v>
      </c>
    </row>
    <row r="785" spans="1:11" x14ac:dyDescent="0.3">
      <c r="A785" t="s">
        <v>1583</v>
      </c>
      <c r="B785" t="s">
        <v>1584</v>
      </c>
      <c r="C785">
        <v>106</v>
      </c>
      <c r="D785" t="s">
        <v>12</v>
      </c>
      <c r="E785" s="1">
        <v>45260</v>
      </c>
      <c r="F785">
        <v>5.7</v>
      </c>
      <c r="G785">
        <v>30000</v>
      </c>
      <c r="H785">
        <v>6.3890000000000002</v>
      </c>
      <c r="I785">
        <v>772</v>
      </c>
      <c r="J785">
        <v>37</v>
      </c>
      <c r="K785">
        <v>47</v>
      </c>
    </row>
    <row r="786" spans="1:11" x14ac:dyDescent="0.3">
      <c r="A786" t="s">
        <v>1585</v>
      </c>
      <c r="B786" t="s">
        <v>1586</v>
      </c>
      <c r="C786">
        <v>108</v>
      </c>
      <c r="D786" t="s">
        <v>15</v>
      </c>
      <c r="E786" s="1">
        <v>45226</v>
      </c>
      <c r="F786">
        <v>6.3</v>
      </c>
      <c r="G786">
        <v>1900</v>
      </c>
      <c r="H786">
        <v>7.1</v>
      </c>
      <c r="I786">
        <v>52</v>
      </c>
      <c r="J786">
        <v>28</v>
      </c>
      <c r="K786">
        <v>47</v>
      </c>
    </row>
    <row r="787" spans="1:11" x14ac:dyDescent="0.3">
      <c r="A787" t="s">
        <v>1587</v>
      </c>
      <c r="B787" t="s">
        <v>1588</v>
      </c>
      <c r="C787">
        <v>118</v>
      </c>
      <c r="D787" t="s">
        <v>28</v>
      </c>
      <c r="E787" s="1">
        <v>45205</v>
      </c>
      <c r="F787">
        <v>6</v>
      </c>
      <c r="G787">
        <v>7400</v>
      </c>
      <c r="H787">
        <v>5.7309999999999999</v>
      </c>
      <c r="I787">
        <v>108</v>
      </c>
      <c r="J787">
        <v>48</v>
      </c>
      <c r="K787">
        <v>47</v>
      </c>
    </row>
    <row r="788" spans="1:11" x14ac:dyDescent="0.3">
      <c r="A788" t="s">
        <v>1589</v>
      </c>
      <c r="B788" t="s">
        <v>1590</v>
      </c>
      <c r="C788">
        <v>104</v>
      </c>
      <c r="D788" t="s">
        <v>15</v>
      </c>
      <c r="E788" s="1">
        <v>44839</v>
      </c>
      <c r="F788">
        <v>6</v>
      </c>
      <c r="G788">
        <v>41000</v>
      </c>
      <c r="H788">
        <v>6.3940000000000001</v>
      </c>
      <c r="I788">
        <v>937</v>
      </c>
      <c r="J788">
        <v>55</v>
      </c>
      <c r="K788">
        <v>47</v>
      </c>
    </row>
    <row r="789" spans="1:11" x14ac:dyDescent="0.3">
      <c r="A789" t="s">
        <v>1591</v>
      </c>
      <c r="B789" t="s">
        <v>1592</v>
      </c>
      <c r="C789">
        <v>167</v>
      </c>
      <c r="D789" t="s">
        <v>18</v>
      </c>
      <c r="E789" s="1">
        <v>44813</v>
      </c>
      <c r="F789">
        <v>5.6</v>
      </c>
      <c r="G789">
        <v>114000</v>
      </c>
      <c r="H789">
        <v>6.3220000000000001</v>
      </c>
      <c r="I789">
        <v>194</v>
      </c>
      <c r="J789">
        <v>57</v>
      </c>
      <c r="K789">
        <v>47</v>
      </c>
    </row>
    <row r="790" spans="1:11" x14ac:dyDescent="0.3">
      <c r="A790" t="s">
        <v>1593</v>
      </c>
      <c r="B790" t="s">
        <v>1594</v>
      </c>
      <c r="C790">
        <v>104</v>
      </c>
      <c r="D790" t="s">
        <v>25</v>
      </c>
      <c r="E790" s="1">
        <v>44792</v>
      </c>
      <c r="F790">
        <v>5.2</v>
      </c>
      <c r="G790">
        <v>6400</v>
      </c>
      <c r="H790">
        <v>4.9000000000000004</v>
      </c>
      <c r="I790">
        <v>117</v>
      </c>
      <c r="J790">
        <v>58</v>
      </c>
      <c r="K790">
        <v>47</v>
      </c>
    </row>
    <row r="791" spans="1:11" x14ac:dyDescent="0.3">
      <c r="A791" t="s">
        <v>1595</v>
      </c>
      <c r="B791" t="s">
        <v>1596</v>
      </c>
      <c r="C791">
        <v>80</v>
      </c>
      <c r="D791" t="s">
        <v>28</v>
      </c>
      <c r="E791" s="1">
        <v>44715</v>
      </c>
      <c r="F791">
        <v>4.5</v>
      </c>
      <c r="G791">
        <v>7100</v>
      </c>
      <c r="H791">
        <v>4.9329999999999998</v>
      </c>
      <c r="I791">
        <v>127</v>
      </c>
      <c r="J791">
        <v>48</v>
      </c>
      <c r="K791">
        <v>47</v>
      </c>
    </row>
    <row r="792" spans="1:11" x14ac:dyDescent="0.3">
      <c r="A792" t="s">
        <v>1597</v>
      </c>
      <c r="B792" t="s">
        <v>1598</v>
      </c>
      <c r="C792">
        <v>99</v>
      </c>
      <c r="D792" t="s">
        <v>63</v>
      </c>
      <c r="E792" s="1">
        <v>44715</v>
      </c>
      <c r="F792">
        <v>4.7</v>
      </c>
      <c r="G792">
        <v>28000</v>
      </c>
      <c r="H792">
        <v>6.0209999999999999</v>
      </c>
      <c r="I792">
        <v>815</v>
      </c>
      <c r="J792">
        <v>51</v>
      </c>
      <c r="K792">
        <v>47</v>
      </c>
    </row>
    <row r="793" spans="1:11" x14ac:dyDescent="0.3">
      <c r="A793" t="s">
        <v>1599</v>
      </c>
      <c r="B793" t="s">
        <v>1600</v>
      </c>
      <c r="C793">
        <v>118</v>
      </c>
      <c r="D793" t="s">
        <v>15</v>
      </c>
      <c r="E793" s="1">
        <v>45702</v>
      </c>
      <c r="F793">
        <v>5.9</v>
      </c>
      <c r="G793">
        <v>82000</v>
      </c>
      <c r="H793">
        <v>6</v>
      </c>
      <c r="I793">
        <v>3019</v>
      </c>
      <c r="J793">
        <v>42</v>
      </c>
      <c r="K793">
        <v>46</v>
      </c>
    </row>
    <row r="794" spans="1:11" x14ac:dyDescent="0.3">
      <c r="A794" t="s">
        <v>1601</v>
      </c>
      <c r="B794" t="s">
        <v>1602</v>
      </c>
      <c r="C794">
        <v>91</v>
      </c>
      <c r="D794" t="s">
        <v>28</v>
      </c>
      <c r="E794" s="1">
        <v>45688</v>
      </c>
      <c r="F794">
        <v>5.2</v>
      </c>
      <c r="G794">
        <v>2200</v>
      </c>
      <c r="H794">
        <v>6</v>
      </c>
      <c r="I794">
        <v>70</v>
      </c>
      <c r="J794">
        <v>52</v>
      </c>
      <c r="K794">
        <v>46</v>
      </c>
    </row>
    <row r="795" spans="1:11" x14ac:dyDescent="0.3">
      <c r="A795" t="s">
        <v>1603</v>
      </c>
      <c r="B795" t="s">
        <v>1604</v>
      </c>
      <c r="C795">
        <v>138</v>
      </c>
      <c r="D795" t="s">
        <v>28</v>
      </c>
      <c r="E795" s="1">
        <v>45562</v>
      </c>
      <c r="F795">
        <v>4.7</v>
      </c>
      <c r="G795">
        <v>35000</v>
      </c>
      <c r="H795">
        <v>5.2</v>
      </c>
      <c r="I795">
        <v>978</v>
      </c>
      <c r="J795">
        <v>55</v>
      </c>
      <c r="K795">
        <v>46</v>
      </c>
    </row>
    <row r="796" spans="1:11" x14ac:dyDescent="0.3">
      <c r="A796" t="s">
        <v>1605</v>
      </c>
      <c r="B796" t="s">
        <v>1606</v>
      </c>
      <c r="C796">
        <v>104</v>
      </c>
      <c r="D796" t="s">
        <v>28</v>
      </c>
      <c r="E796" s="1">
        <v>45548</v>
      </c>
      <c r="F796">
        <v>5.8</v>
      </c>
      <c r="G796">
        <v>16000</v>
      </c>
      <c r="H796">
        <v>6.4059999999999997</v>
      </c>
      <c r="I796">
        <v>532</v>
      </c>
      <c r="J796">
        <v>36</v>
      </c>
      <c r="K796">
        <v>46</v>
      </c>
    </row>
    <row r="797" spans="1:11" x14ac:dyDescent="0.3">
      <c r="A797" t="s">
        <v>1607</v>
      </c>
      <c r="B797" t="s">
        <v>1608</v>
      </c>
      <c r="C797">
        <v>125</v>
      </c>
      <c r="D797" t="s">
        <v>28</v>
      </c>
      <c r="E797" s="1">
        <v>45380</v>
      </c>
      <c r="F797">
        <v>6.1</v>
      </c>
      <c r="G797">
        <v>7300</v>
      </c>
      <c r="H797">
        <v>6.1660000000000004</v>
      </c>
      <c r="I797">
        <v>202</v>
      </c>
      <c r="J797">
        <v>47</v>
      </c>
      <c r="K797">
        <v>46</v>
      </c>
    </row>
    <row r="798" spans="1:11" x14ac:dyDescent="0.3">
      <c r="A798" t="s">
        <v>1609</v>
      </c>
      <c r="B798" t="s">
        <v>1610</v>
      </c>
      <c r="C798">
        <v>104</v>
      </c>
      <c r="D798" t="s">
        <v>15</v>
      </c>
      <c r="E798" s="1">
        <v>45247</v>
      </c>
      <c r="F798">
        <v>6.5</v>
      </c>
      <c r="G798">
        <v>29000</v>
      </c>
      <c r="H798">
        <v>6.42</v>
      </c>
      <c r="I798">
        <v>567</v>
      </c>
      <c r="J798">
        <v>44</v>
      </c>
      <c r="K798">
        <v>46</v>
      </c>
    </row>
    <row r="799" spans="1:11" x14ac:dyDescent="0.3">
      <c r="A799" t="s">
        <v>1611</v>
      </c>
      <c r="B799" t="s">
        <v>1612</v>
      </c>
      <c r="C799">
        <v>107</v>
      </c>
      <c r="D799" t="s">
        <v>15</v>
      </c>
      <c r="E799" s="1">
        <v>45058</v>
      </c>
      <c r="F799">
        <v>5.6</v>
      </c>
      <c r="G799">
        <v>8500</v>
      </c>
      <c r="H799">
        <v>6.3</v>
      </c>
      <c r="I799">
        <v>213</v>
      </c>
      <c r="J799">
        <v>46</v>
      </c>
      <c r="K799">
        <v>46</v>
      </c>
    </row>
    <row r="800" spans="1:11" x14ac:dyDescent="0.3">
      <c r="A800" t="s">
        <v>1613</v>
      </c>
      <c r="B800" t="s">
        <v>1614</v>
      </c>
      <c r="C800">
        <v>90</v>
      </c>
      <c r="D800" t="s">
        <v>15</v>
      </c>
      <c r="E800" s="1">
        <v>45016</v>
      </c>
      <c r="F800">
        <v>5.7</v>
      </c>
      <c r="G800">
        <v>76000</v>
      </c>
      <c r="H800">
        <v>6.37</v>
      </c>
      <c r="I800">
        <v>1941</v>
      </c>
      <c r="J800">
        <v>44</v>
      </c>
      <c r="K800">
        <v>46</v>
      </c>
    </row>
    <row r="801" spans="1:11" x14ac:dyDescent="0.3">
      <c r="A801" t="s">
        <v>1615</v>
      </c>
      <c r="B801" t="s">
        <v>1616</v>
      </c>
      <c r="C801">
        <v>124</v>
      </c>
      <c r="D801" t="s">
        <v>15</v>
      </c>
      <c r="E801" s="1">
        <v>44974</v>
      </c>
      <c r="F801">
        <v>6</v>
      </c>
      <c r="G801">
        <v>248000</v>
      </c>
      <c r="H801">
        <v>6.2309999999999999</v>
      </c>
      <c r="I801">
        <v>5747</v>
      </c>
      <c r="J801">
        <v>48</v>
      </c>
      <c r="K801">
        <v>46</v>
      </c>
    </row>
    <row r="802" spans="1:11" x14ac:dyDescent="0.3">
      <c r="A802" t="s">
        <v>1617</v>
      </c>
      <c r="B802" t="s">
        <v>1618</v>
      </c>
      <c r="C802">
        <v>122</v>
      </c>
      <c r="D802" t="s">
        <v>15</v>
      </c>
      <c r="E802" s="1">
        <v>44764</v>
      </c>
      <c r="F802">
        <v>6.5</v>
      </c>
      <c r="G802">
        <v>256000</v>
      </c>
      <c r="H802">
        <v>6.907</v>
      </c>
      <c r="I802">
        <v>4162</v>
      </c>
      <c r="J802">
        <v>49</v>
      </c>
      <c r="K802">
        <v>46</v>
      </c>
    </row>
    <row r="803" spans="1:11" x14ac:dyDescent="0.3">
      <c r="A803" t="s">
        <v>1619</v>
      </c>
      <c r="B803" t="s">
        <v>1620</v>
      </c>
      <c r="C803">
        <v>142</v>
      </c>
      <c r="D803" t="s">
        <v>15</v>
      </c>
      <c r="E803" s="1">
        <v>44666</v>
      </c>
      <c r="F803">
        <v>6.2</v>
      </c>
      <c r="G803">
        <v>183000</v>
      </c>
      <c r="H803">
        <v>6.6269999999999998</v>
      </c>
      <c r="I803">
        <v>5046</v>
      </c>
      <c r="J803">
        <v>47</v>
      </c>
      <c r="K803">
        <v>46</v>
      </c>
    </row>
    <row r="804" spans="1:11" x14ac:dyDescent="0.3">
      <c r="A804" t="s">
        <v>1621</v>
      </c>
      <c r="B804" t="s">
        <v>1622</v>
      </c>
      <c r="C804">
        <v>112</v>
      </c>
      <c r="D804" t="s">
        <v>15</v>
      </c>
      <c r="E804" s="1">
        <v>45646</v>
      </c>
      <c r="F804">
        <v>5.4</v>
      </c>
      <c r="G804">
        <v>3400</v>
      </c>
      <c r="H804">
        <v>6.524</v>
      </c>
      <c r="I804">
        <v>104</v>
      </c>
      <c r="J804">
        <v>44</v>
      </c>
      <c r="K804">
        <v>45</v>
      </c>
    </row>
    <row r="805" spans="1:11" x14ac:dyDescent="0.3">
      <c r="A805" t="s">
        <v>1623</v>
      </c>
      <c r="B805" t="s">
        <v>1624</v>
      </c>
      <c r="C805">
        <v>107</v>
      </c>
      <c r="D805" t="s">
        <v>28</v>
      </c>
      <c r="E805" s="1">
        <v>45562</v>
      </c>
      <c r="F805">
        <v>5.9</v>
      </c>
      <c r="G805">
        <v>16000</v>
      </c>
      <c r="H805">
        <v>6.14</v>
      </c>
      <c r="I805">
        <v>381</v>
      </c>
      <c r="J805">
        <v>49</v>
      </c>
      <c r="K805">
        <v>45</v>
      </c>
    </row>
    <row r="806" spans="1:11" x14ac:dyDescent="0.3">
      <c r="A806" t="s">
        <v>1625</v>
      </c>
      <c r="B806" t="s">
        <v>1626</v>
      </c>
      <c r="C806">
        <v>113</v>
      </c>
      <c r="D806" t="s">
        <v>28</v>
      </c>
      <c r="E806" s="1">
        <v>45358</v>
      </c>
      <c r="F806">
        <v>6.2</v>
      </c>
      <c r="G806">
        <v>55000</v>
      </c>
      <c r="H806">
        <v>6.5220000000000002</v>
      </c>
      <c r="I806">
        <v>765</v>
      </c>
      <c r="J806">
        <v>44</v>
      </c>
      <c r="K806">
        <v>45</v>
      </c>
    </row>
    <row r="807" spans="1:11" x14ac:dyDescent="0.3">
      <c r="A807" t="s">
        <v>1627</v>
      </c>
      <c r="B807" t="s">
        <v>1628</v>
      </c>
      <c r="C807">
        <v>119</v>
      </c>
      <c r="D807" t="s">
        <v>28</v>
      </c>
      <c r="E807" s="1">
        <v>45072</v>
      </c>
      <c r="F807">
        <v>6.1</v>
      </c>
      <c r="G807">
        <v>40000</v>
      </c>
      <c r="H807">
        <v>6.7649999999999997</v>
      </c>
      <c r="I807">
        <v>1213</v>
      </c>
      <c r="J807">
        <v>52</v>
      </c>
      <c r="K807">
        <v>45</v>
      </c>
    </row>
    <row r="808" spans="1:11" x14ac:dyDescent="0.3">
      <c r="A808" t="s">
        <v>1629</v>
      </c>
      <c r="B808" t="s">
        <v>1630</v>
      </c>
      <c r="C808">
        <v>101</v>
      </c>
      <c r="D808" t="s">
        <v>28</v>
      </c>
      <c r="E808" s="1">
        <v>44953</v>
      </c>
      <c r="F808">
        <v>5.5</v>
      </c>
      <c r="G808">
        <v>41000</v>
      </c>
      <c r="H808">
        <v>6.2450000000000001</v>
      </c>
      <c r="I808">
        <v>1289</v>
      </c>
      <c r="J808">
        <v>46</v>
      </c>
      <c r="K808">
        <v>45</v>
      </c>
    </row>
    <row r="809" spans="1:11" x14ac:dyDescent="0.3">
      <c r="A809" t="s">
        <v>1631</v>
      </c>
      <c r="B809" t="s">
        <v>1632</v>
      </c>
      <c r="C809">
        <v>132</v>
      </c>
      <c r="D809" t="s">
        <v>28</v>
      </c>
      <c r="E809" s="1">
        <v>44904</v>
      </c>
      <c r="F809">
        <v>6.3</v>
      </c>
      <c r="G809">
        <v>29000</v>
      </c>
      <c r="H809">
        <v>7.7590000000000003</v>
      </c>
      <c r="I809">
        <v>1247</v>
      </c>
      <c r="J809">
        <v>53</v>
      </c>
      <c r="K809">
        <v>45</v>
      </c>
    </row>
    <row r="810" spans="1:11" x14ac:dyDescent="0.3">
      <c r="A810" t="s">
        <v>1633</v>
      </c>
      <c r="B810" t="s">
        <v>1634</v>
      </c>
      <c r="C810">
        <v>99</v>
      </c>
      <c r="D810" t="s">
        <v>28</v>
      </c>
      <c r="E810" s="1">
        <v>44610</v>
      </c>
      <c r="F810">
        <v>5.0999999999999996</v>
      </c>
      <c r="G810">
        <v>13000</v>
      </c>
      <c r="H810">
        <v>5.2279999999999998</v>
      </c>
      <c r="I810">
        <v>92</v>
      </c>
      <c r="J810">
        <v>52</v>
      </c>
      <c r="K810">
        <v>45</v>
      </c>
    </row>
    <row r="811" spans="1:11" x14ac:dyDescent="0.3">
      <c r="A811" t="s">
        <v>1635</v>
      </c>
      <c r="B811" t="s">
        <v>1636</v>
      </c>
      <c r="C811">
        <v>134</v>
      </c>
      <c r="D811" t="s">
        <v>28</v>
      </c>
      <c r="E811" s="1">
        <v>45198</v>
      </c>
      <c r="F811">
        <v>6.8</v>
      </c>
      <c r="G811">
        <v>102000</v>
      </c>
      <c r="H811">
        <v>6.6719999999999997</v>
      </c>
      <c r="I811">
        <v>1195</v>
      </c>
      <c r="J811">
        <v>52</v>
      </c>
      <c r="K811">
        <v>44</v>
      </c>
    </row>
    <row r="812" spans="1:11" x14ac:dyDescent="0.3">
      <c r="A812" t="s">
        <v>1637</v>
      </c>
      <c r="B812" t="s">
        <v>1638</v>
      </c>
      <c r="C812">
        <v>126</v>
      </c>
      <c r="D812" t="s">
        <v>12</v>
      </c>
      <c r="E812" s="1">
        <v>45163</v>
      </c>
      <c r="F812">
        <v>6.7</v>
      </c>
      <c r="G812">
        <v>7700</v>
      </c>
      <c r="H812">
        <v>7.7</v>
      </c>
      <c r="I812">
        <v>300</v>
      </c>
      <c r="J812">
        <v>48</v>
      </c>
      <c r="K812">
        <v>44</v>
      </c>
    </row>
    <row r="813" spans="1:11" x14ac:dyDescent="0.3">
      <c r="A813" t="s">
        <v>1639</v>
      </c>
      <c r="B813" t="s">
        <v>1640</v>
      </c>
      <c r="C813">
        <v>115</v>
      </c>
      <c r="D813" t="s">
        <v>28</v>
      </c>
      <c r="E813" s="1">
        <v>44904</v>
      </c>
      <c r="F813">
        <v>6.7</v>
      </c>
      <c r="G813">
        <v>26000</v>
      </c>
      <c r="H813">
        <v>6.6</v>
      </c>
      <c r="I813">
        <v>617</v>
      </c>
      <c r="J813">
        <v>54</v>
      </c>
      <c r="K813">
        <v>44</v>
      </c>
    </row>
    <row r="814" spans="1:11" x14ac:dyDescent="0.3">
      <c r="A814" t="s">
        <v>1641</v>
      </c>
      <c r="B814" t="s">
        <v>1642</v>
      </c>
      <c r="C814">
        <v>113</v>
      </c>
      <c r="D814" t="s">
        <v>28</v>
      </c>
      <c r="E814" s="1">
        <v>44869</v>
      </c>
      <c r="F814">
        <v>6.5</v>
      </c>
      <c r="G814">
        <v>24000</v>
      </c>
      <c r="H814">
        <v>7.6</v>
      </c>
      <c r="I814">
        <v>757</v>
      </c>
      <c r="J814">
        <v>50</v>
      </c>
      <c r="K814">
        <v>44</v>
      </c>
    </row>
    <row r="815" spans="1:11" x14ac:dyDescent="0.3">
      <c r="A815" t="s">
        <v>1643</v>
      </c>
      <c r="B815" t="s">
        <v>1644</v>
      </c>
      <c r="C815">
        <v>90</v>
      </c>
      <c r="D815" t="s">
        <v>28</v>
      </c>
      <c r="E815" s="1">
        <v>44621</v>
      </c>
      <c r="F815">
        <v>4.9000000000000004</v>
      </c>
      <c r="G815">
        <v>7100</v>
      </c>
      <c r="H815">
        <v>5.5519999999999996</v>
      </c>
      <c r="I815">
        <v>154</v>
      </c>
      <c r="J815">
        <v>52</v>
      </c>
      <c r="K815">
        <v>44</v>
      </c>
    </row>
    <row r="816" spans="1:11" x14ac:dyDescent="0.3">
      <c r="A816" t="s">
        <v>1645</v>
      </c>
      <c r="B816" t="s">
        <v>1646</v>
      </c>
      <c r="C816">
        <v>100</v>
      </c>
      <c r="D816" t="s">
        <v>18</v>
      </c>
      <c r="E816" s="1">
        <v>45797</v>
      </c>
      <c r="F816">
        <v>6.7</v>
      </c>
      <c r="G816">
        <v>13000</v>
      </c>
      <c r="H816">
        <v>6.2</v>
      </c>
      <c r="I816">
        <v>172</v>
      </c>
      <c r="J816">
        <v>53</v>
      </c>
      <c r="K816">
        <v>43</v>
      </c>
    </row>
    <row r="817" spans="1:11" x14ac:dyDescent="0.3">
      <c r="A817" t="s">
        <v>1647</v>
      </c>
      <c r="B817" t="s">
        <v>1648</v>
      </c>
      <c r="C817">
        <v>109</v>
      </c>
      <c r="D817" t="s">
        <v>12</v>
      </c>
      <c r="E817" s="1">
        <v>45709</v>
      </c>
      <c r="F817">
        <v>5.7</v>
      </c>
      <c r="G817">
        <v>1000</v>
      </c>
      <c r="H817">
        <v>7.7030000000000003</v>
      </c>
      <c r="I817">
        <v>133</v>
      </c>
      <c r="J817">
        <v>35</v>
      </c>
      <c r="K817">
        <v>43</v>
      </c>
    </row>
    <row r="818" spans="1:11" x14ac:dyDescent="0.3">
      <c r="A818" t="s">
        <v>1649</v>
      </c>
      <c r="B818" t="s">
        <v>1650</v>
      </c>
      <c r="C818">
        <v>98</v>
      </c>
      <c r="D818" t="s">
        <v>63</v>
      </c>
      <c r="E818" s="1">
        <v>45667</v>
      </c>
      <c r="F818">
        <v>5.9</v>
      </c>
      <c r="G818">
        <v>8800</v>
      </c>
      <c r="H818">
        <v>6.226</v>
      </c>
      <c r="I818">
        <v>434</v>
      </c>
      <c r="J818">
        <v>40</v>
      </c>
      <c r="K818">
        <v>43</v>
      </c>
    </row>
    <row r="819" spans="1:11" x14ac:dyDescent="0.3">
      <c r="A819" t="s">
        <v>1651</v>
      </c>
      <c r="B819" t="s">
        <v>1652</v>
      </c>
      <c r="C819">
        <v>93</v>
      </c>
      <c r="D819" t="s">
        <v>63</v>
      </c>
      <c r="E819" s="1">
        <v>45492</v>
      </c>
      <c r="F819">
        <v>6.3</v>
      </c>
      <c r="G819">
        <v>13000</v>
      </c>
      <c r="H819">
        <v>6.6</v>
      </c>
      <c r="I819">
        <v>165</v>
      </c>
      <c r="J819">
        <v>50</v>
      </c>
      <c r="K819">
        <v>43</v>
      </c>
    </row>
    <row r="820" spans="1:11" x14ac:dyDescent="0.3">
      <c r="A820" t="s">
        <v>1653</v>
      </c>
      <c r="B820" t="s">
        <v>1654</v>
      </c>
      <c r="C820">
        <v>110</v>
      </c>
      <c r="D820" t="s">
        <v>15</v>
      </c>
      <c r="E820" s="1">
        <v>45457</v>
      </c>
      <c r="F820">
        <v>6.1</v>
      </c>
      <c r="G820">
        <v>6400</v>
      </c>
      <c r="H820">
        <v>6.6</v>
      </c>
      <c r="I820">
        <v>170</v>
      </c>
      <c r="J820">
        <v>48</v>
      </c>
      <c r="K820">
        <v>43</v>
      </c>
    </row>
    <row r="821" spans="1:11" x14ac:dyDescent="0.3">
      <c r="A821" t="s">
        <v>1655</v>
      </c>
      <c r="B821" t="s">
        <v>1656</v>
      </c>
      <c r="C821">
        <v>110</v>
      </c>
      <c r="D821" t="s">
        <v>28</v>
      </c>
      <c r="E821" s="1">
        <v>45373</v>
      </c>
      <c r="F821">
        <v>6.2</v>
      </c>
      <c r="G821">
        <v>21000</v>
      </c>
      <c r="H821">
        <v>6.9889999999999999</v>
      </c>
      <c r="I821">
        <v>588</v>
      </c>
      <c r="J821">
        <v>45</v>
      </c>
      <c r="K821">
        <v>43</v>
      </c>
    </row>
    <row r="822" spans="1:11" x14ac:dyDescent="0.3">
      <c r="A822" t="s">
        <v>1657</v>
      </c>
      <c r="B822" t="s">
        <v>1658</v>
      </c>
      <c r="C822">
        <v>107</v>
      </c>
      <c r="D822" t="s">
        <v>15</v>
      </c>
      <c r="E822" s="1">
        <v>45336</v>
      </c>
      <c r="F822">
        <v>6.2</v>
      </c>
      <c r="G822">
        <v>34000</v>
      </c>
      <c r="H822">
        <v>6.6</v>
      </c>
      <c r="I822">
        <v>949</v>
      </c>
      <c r="J822">
        <v>43</v>
      </c>
      <c r="K822">
        <v>43</v>
      </c>
    </row>
    <row r="823" spans="1:11" x14ac:dyDescent="0.3">
      <c r="A823" t="s">
        <v>1659</v>
      </c>
      <c r="B823" t="s">
        <v>1660</v>
      </c>
      <c r="C823">
        <v>110</v>
      </c>
      <c r="D823" t="s">
        <v>15</v>
      </c>
      <c r="E823" s="1">
        <v>45224</v>
      </c>
      <c r="F823">
        <v>5.6</v>
      </c>
      <c r="G823">
        <v>6100</v>
      </c>
      <c r="H823">
        <v>6</v>
      </c>
      <c r="I823">
        <v>248</v>
      </c>
      <c r="J823">
        <v>60</v>
      </c>
      <c r="K823">
        <v>43</v>
      </c>
    </row>
    <row r="824" spans="1:11" x14ac:dyDescent="0.3">
      <c r="A824" t="s">
        <v>1661</v>
      </c>
      <c r="B824" t="s">
        <v>1662</v>
      </c>
      <c r="C824">
        <v>115</v>
      </c>
      <c r="D824" t="s">
        <v>28</v>
      </c>
      <c r="E824" s="1">
        <v>45058</v>
      </c>
      <c r="F824">
        <v>5.6</v>
      </c>
      <c r="G824">
        <v>51000</v>
      </c>
      <c r="H824">
        <v>6.62</v>
      </c>
      <c r="I824">
        <v>1397</v>
      </c>
      <c r="J824">
        <v>45</v>
      </c>
      <c r="K824">
        <v>43</v>
      </c>
    </row>
    <row r="825" spans="1:11" x14ac:dyDescent="0.3">
      <c r="A825" t="s">
        <v>1663</v>
      </c>
      <c r="B825" t="s">
        <v>1664</v>
      </c>
      <c r="C825">
        <v>144</v>
      </c>
      <c r="D825" t="s">
        <v>15</v>
      </c>
      <c r="E825" s="1">
        <v>44918</v>
      </c>
      <c r="F825">
        <v>6.6</v>
      </c>
      <c r="G825">
        <v>25000</v>
      </c>
      <c r="H825">
        <v>7.0140000000000002</v>
      </c>
      <c r="I825">
        <v>514</v>
      </c>
      <c r="J825">
        <v>51</v>
      </c>
      <c r="K825">
        <v>43</v>
      </c>
    </row>
    <row r="826" spans="1:11" x14ac:dyDescent="0.3">
      <c r="A826" t="s">
        <v>1665</v>
      </c>
      <c r="B826" t="s">
        <v>1666</v>
      </c>
      <c r="C826">
        <v>126</v>
      </c>
      <c r="D826" t="s">
        <v>28</v>
      </c>
      <c r="E826" s="1">
        <v>44834</v>
      </c>
      <c r="F826">
        <v>6.8</v>
      </c>
      <c r="G826">
        <v>33000</v>
      </c>
      <c r="H826">
        <v>7.5149999999999997</v>
      </c>
      <c r="I826">
        <v>885</v>
      </c>
      <c r="J826">
        <v>39</v>
      </c>
      <c r="K826">
        <v>43</v>
      </c>
    </row>
    <row r="827" spans="1:11" x14ac:dyDescent="0.3">
      <c r="A827" t="s">
        <v>1667</v>
      </c>
      <c r="B827" t="s">
        <v>1668</v>
      </c>
      <c r="C827">
        <v>167</v>
      </c>
      <c r="D827" t="s">
        <v>1669</v>
      </c>
      <c r="E827" s="1">
        <v>44832</v>
      </c>
      <c r="F827">
        <v>5.5</v>
      </c>
      <c r="G827">
        <v>75000</v>
      </c>
      <c r="H827">
        <v>5.9139999999999997</v>
      </c>
      <c r="I827">
        <v>1504</v>
      </c>
      <c r="J827">
        <v>50</v>
      </c>
      <c r="K827">
        <v>43</v>
      </c>
    </row>
    <row r="828" spans="1:11" x14ac:dyDescent="0.3">
      <c r="A828" t="s">
        <v>1670</v>
      </c>
      <c r="B828" t="s">
        <v>1671</v>
      </c>
      <c r="C828">
        <v>111</v>
      </c>
      <c r="D828" t="s">
        <v>15</v>
      </c>
      <c r="E828" s="1">
        <v>44804</v>
      </c>
      <c r="F828">
        <v>5.9</v>
      </c>
      <c r="G828">
        <v>902</v>
      </c>
      <c r="H828">
        <v>5.97</v>
      </c>
      <c r="I828">
        <v>33</v>
      </c>
      <c r="J828">
        <v>45</v>
      </c>
      <c r="K828">
        <v>43</v>
      </c>
    </row>
    <row r="829" spans="1:11" x14ac:dyDescent="0.3">
      <c r="A829" t="s">
        <v>1672</v>
      </c>
      <c r="B829" t="s">
        <v>1673</v>
      </c>
      <c r="C829">
        <v>91</v>
      </c>
      <c r="D829" t="s">
        <v>28</v>
      </c>
      <c r="E829" s="1">
        <v>45632</v>
      </c>
      <c r="F829">
        <v>4.8</v>
      </c>
      <c r="G829">
        <v>10000</v>
      </c>
      <c r="H829">
        <v>5.1280000000000001</v>
      </c>
      <c r="I829">
        <v>266</v>
      </c>
      <c r="J829">
        <v>49</v>
      </c>
      <c r="K829">
        <v>42</v>
      </c>
    </row>
    <row r="830" spans="1:11" x14ac:dyDescent="0.3">
      <c r="A830" t="s">
        <v>1674</v>
      </c>
      <c r="B830" t="s">
        <v>1675</v>
      </c>
      <c r="C830">
        <v>89</v>
      </c>
      <c r="D830" t="s">
        <v>28</v>
      </c>
      <c r="E830" s="1">
        <v>45582</v>
      </c>
      <c r="F830">
        <v>5.4</v>
      </c>
      <c r="G830">
        <v>13000</v>
      </c>
      <c r="H830">
        <v>5.9</v>
      </c>
      <c r="I830">
        <v>322</v>
      </c>
      <c r="J830">
        <v>50</v>
      </c>
      <c r="K830">
        <v>42</v>
      </c>
    </row>
    <row r="831" spans="1:11" x14ac:dyDescent="0.3">
      <c r="A831" t="s">
        <v>1676</v>
      </c>
      <c r="B831" t="s">
        <v>1677</v>
      </c>
      <c r="C831">
        <v>115</v>
      </c>
      <c r="D831" t="s">
        <v>15</v>
      </c>
      <c r="E831" s="1">
        <v>45373</v>
      </c>
      <c r="F831">
        <v>6.1</v>
      </c>
      <c r="G831">
        <v>92000</v>
      </c>
      <c r="H831">
        <v>6.4539999999999997</v>
      </c>
      <c r="I831">
        <v>2124</v>
      </c>
      <c r="J831">
        <v>46</v>
      </c>
      <c r="K831">
        <v>42</v>
      </c>
    </row>
    <row r="832" spans="1:11" x14ac:dyDescent="0.3">
      <c r="A832" t="s">
        <v>1678</v>
      </c>
      <c r="B832" t="s">
        <v>1679</v>
      </c>
      <c r="C832">
        <v>92</v>
      </c>
      <c r="D832" t="s">
        <v>28</v>
      </c>
      <c r="E832" s="1">
        <v>45247</v>
      </c>
      <c r="F832">
        <v>6</v>
      </c>
      <c r="G832">
        <v>9900</v>
      </c>
      <c r="H832">
        <v>6.1230000000000002</v>
      </c>
      <c r="I832">
        <v>150</v>
      </c>
      <c r="J832">
        <v>49</v>
      </c>
      <c r="K832">
        <v>42</v>
      </c>
    </row>
    <row r="833" spans="1:11" x14ac:dyDescent="0.3">
      <c r="A833" t="s">
        <v>1680</v>
      </c>
      <c r="B833" t="s">
        <v>1681</v>
      </c>
      <c r="C833">
        <v>91</v>
      </c>
      <c r="D833" t="s">
        <v>28</v>
      </c>
      <c r="E833" s="1">
        <v>44967</v>
      </c>
      <c r="F833">
        <v>5.2</v>
      </c>
      <c r="G833">
        <v>4600</v>
      </c>
      <c r="H833">
        <v>5.6</v>
      </c>
      <c r="I833">
        <v>175</v>
      </c>
      <c r="J833">
        <v>40</v>
      </c>
      <c r="K833">
        <v>42</v>
      </c>
    </row>
    <row r="834" spans="1:11" x14ac:dyDescent="0.3">
      <c r="A834" t="s">
        <v>1682</v>
      </c>
      <c r="B834" t="s">
        <v>1683</v>
      </c>
      <c r="C834">
        <v>113</v>
      </c>
      <c r="D834" t="s">
        <v>28</v>
      </c>
      <c r="E834" s="1">
        <v>44841</v>
      </c>
      <c r="F834">
        <v>6.4</v>
      </c>
      <c r="G834">
        <v>58000</v>
      </c>
      <c r="H834">
        <v>6.5</v>
      </c>
      <c r="I834">
        <v>920</v>
      </c>
      <c r="J834">
        <v>54</v>
      </c>
      <c r="K834">
        <v>42</v>
      </c>
    </row>
    <row r="835" spans="1:11" x14ac:dyDescent="0.3">
      <c r="A835" t="s">
        <v>1684</v>
      </c>
      <c r="B835" t="s">
        <v>1685</v>
      </c>
      <c r="C835">
        <v>124</v>
      </c>
      <c r="D835" t="s">
        <v>15</v>
      </c>
      <c r="E835" s="1">
        <v>44666</v>
      </c>
      <c r="F835">
        <v>6.5</v>
      </c>
      <c r="G835">
        <v>34000</v>
      </c>
      <c r="H835">
        <v>7.1470000000000002</v>
      </c>
      <c r="I835">
        <v>721</v>
      </c>
      <c r="J835">
        <v>40</v>
      </c>
      <c r="K835">
        <v>42</v>
      </c>
    </row>
    <row r="836" spans="1:11" x14ac:dyDescent="0.3">
      <c r="A836" t="s">
        <v>1686</v>
      </c>
      <c r="B836" t="s">
        <v>1687</v>
      </c>
      <c r="C836">
        <v>89</v>
      </c>
      <c r="D836" t="s">
        <v>90</v>
      </c>
      <c r="E836" s="1">
        <v>44623</v>
      </c>
      <c r="F836">
        <v>5.7</v>
      </c>
      <c r="G836">
        <v>33000</v>
      </c>
      <c r="H836">
        <v>6.05</v>
      </c>
      <c r="I836">
        <v>794</v>
      </c>
      <c r="J836">
        <v>51</v>
      </c>
      <c r="K836">
        <v>42</v>
      </c>
    </row>
    <row r="837" spans="1:11" x14ac:dyDescent="0.3">
      <c r="A837" t="s">
        <v>1688</v>
      </c>
      <c r="B837" t="s">
        <v>1689</v>
      </c>
      <c r="C837">
        <v>111</v>
      </c>
      <c r="D837" t="s">
        <v>28</v>
      </c>
      <c r="E837" s="1">
        <v>45547</v>
      </c>
      <c r="F837">
        <v>6.3</v>
      </c>
      <c r="G837">
        <v>2000</v>
      </c>
      <c r="H837">
        <v>6.5350000000000001</v>
      </c>
      <c r="I837">
        <v>43</v>
      </c>
      <c r="J837">
        <v>44</v>
      </c>
      <c r="K837">
        <v>41</v>
      </c>
    </row>
    <row r="838" spans="1:11" x14ac:dyDescent="0.3">
      <c r="A838" t="s">
        <v>1690</v>
      </c>
      <c r="B838" t="s">
        <v>1691</v>
      </c>
      <c r="C838">
        <v>101</v>
      </c>
      <c r="D838" t="s">
        <v>28</v>
      </c>
      <c r="E838" s="1">
        <v>45513</v>
      </c>
      <c r="F838">
        <v>6.2</v>
      </c>
      <c r="G838">
        <v>37000</v>
      </c>
      <c r="H838">
        <v>6.15</v>
      </c>
      <c r="I838">
        <v>608</v>
      </c>
      <c r="J838">
        <v>48</v>
      </c>
      <c r="K838">
        <v>41</v>
      </c>
    </row>
    <row r="839" spans="1:11" x14ac:dyDescent="0.3">
      <c r="A839" t="s">
        <v>1692</v>
      </c>
      <c r="B839" t="s">
        <v>1693</v>
      </c>
      <c r="C839">
        <v>85</v>
      </c>
      <c r="D839" t="s">
        <v>28</v>
      </c>
      <c r="E839" s="1">
        <v>45394</v>
      </c>
      <c r="F839">
        <v>4.8</v>
      </c>
      <c r="G839">
        <v>628</v>
      </c>
      <c r="H839">
        <v>5.4</v>
      </c>
      <c r="I839">
        <v>20</v>
      </c>
      <c r="J839">
        <v>55</v>
      </c>
      <c r="K839">
        <v>41</v>
      </c>
    </row>
    <row r="840" spans="1:11" x14ac:dyDescent="0.3">
      <c r="A840" t="s">
        <v>1694</v>
      </c>
      <c r="B840" t="s">
        <v>1695</v>
      </c>
      <c r="C840">
        <v>93</v>
      </c>
      <c r="D840" t="s">
        <v>160</v>
      </c>
      <c r="E840" s="1">
        <v>45366</v>
      </c>
      <c r="F840">
        <v>5.2</v>
      </c>
      <c r="G840">
        <v>21000</v>
      </c>
      <c r="H840">
        <v>6.1349999999999998</v>
      </c>
      <c r="I840">
        <v>513</v>
      </c>
      <c r="J840">
        <v>46</v>
      </c>
      <c r="K840">
        <v>41</v>
      </c>
    </row>
    <row r="841" spans="1:11" x14ac:dyDescent="0.3">
      <c r="A841" t="s">
        <v>1696</v>
      </c>
      <c r="B841" t="s">
        <v>1697</v>
      </c>
      <c r="C841">
        <v>123</v>
      </c>
      <c r="D841" t="s">
        <v>28</v>
      </c>
      <c r="E841" s="1">
        <v>45737</v>
      </c>
      <c r="F841">
        <v>5.9</v>
      </c>
      <c r="G841">
        <v>2300</v>
      </c>
      <c r="H841">
        <v>6.2110000000000003</v>
      </c>
      <c r="I841">
        <v>413</v>
      </c>
      <c r="J841">
        <v>46</v>
      </c>
      <c r="K841">
        <v>40</v>
      </c>
    </row>
    <row r="842" spans="1:11" x14ac:dyDescent="0.3">
      <c r="A842" t="s">
        <v>1698</v>
      </c>
      <c r="B842" t="s">
        <v>1699</v>
      </c>
      <c r="C842">
        <v>110</v>
      </c>
      <c r="D842" t="s">
        <v>15</v>
      </c>
      <c r="E842" s="1">
        <v>45590</v>
      </c>
      <c r="F842">
        <v>6</v>
      </c>
      <c r="G842">
        <v>110000</v>
      </c>
      <c r="H842">
        <v>6.7</v>
      </c>
      <c r="I842">
        <v>4111</v>
      </c>
      <c r="J842">
        <v>41</v>
      </c>
      <c r="K842">
        <v>40</v>
      </c>
    </row>
    <row r="843" spans="1:11" x14ac:dyDescent="0.3">
      <c r="A843" t="s">
        <v>1700</v>
      </c>
      <c r="B843" t="s">
        <v>1701</v>
      </c>
      <c r="C843">
        <v>94</v>
      </c>
      <c r="D843" t="s">
        <v>28</v>
      </c>
      <c r="E843" s="1">
        <v>45568</v>
      </c>
      <c r="F843">
        <v>5.3</v>
      </c>
      <c r="G843">
        <v>8400</v>
      </c>
      <c r="H843">
        <v>5.9</v>
      </c>
      <c r="I843">
        <v>265</v>
      </c>
      <c r="J843">
        <v>45</v>
      </c>
      <c r="K843">
        <v>40</v>
      </c>
    </row>
    <row r="844" spans="1:11" x14ac:dyDescent="0.3">
      <c r="A844" t="s">
        <v>1702</v>
      </c>
      <c r="B844" t="s">
        <v>1703</v>
      </c>
      <c r="C844">
        <v>94</v>
      </c>
      <c r="D844" t="s">
        <v>28</v>
      </c>
      <c r="E844" s="1">
        <v>45541</v>
      </c>
      <c r="F844">
        <v>4.5999999999999996</v>
      </c>
      <c r="G844">
        <v>5200</v>
      </c>
      <c r="H844">
        <v>5.0119999999999996</v>
      </c>
      <c r="I844">
        <v>123</v>
      </c>
      <c r="J844">
        <v>49</v>
      </c>
      <c r="K844">
        <v>40</v>
      </c>
    </row>
    <row r="845" spans="1:11" x14ac:dyDescent="0.3">
      <c r="A845" t="s">
        <v>1704</v>
      </c>
      <c r="B845" t="s">
        <v>1705</v>
      </c>
      <c r="C845">
        <v>97</v>
      </c>
      <c r="D845" t="s">
        <v>28</v>
      </c>
      <c r="E845" s="1">
        <v>45499</v>
      </c>
      <c r="F845">
        <v>4.2</v>
      </c>
      <c r="G845">
        <v>4500</v>
      </c>
      <c r="H845">
        <v>5.6980000000000004</v>
      </c>
      <c r="I845">
        <v>220</v>
      </c>
      <c r="J845">
        <v>43</v>
      </c>
      <c r="K845">
        <v>40</v>
      </c>
    </row>
    <row r="846" spans="1:11" x14ac:dyDescent="0.3">
      <c r="A846" t="s">
        <v>1706</v>
      </c>
      <c r="B846" t="s">
        <v>1707</v>
      </c>
      <c r="C846">
        <v>111</v>
      </c>
      <c r="D846" t="s">
        <v>15</v>
      </c>
      <c r="E846" s="1">
        <v>45471</v>
      </c>
      <c r="F846">
        <v>5.3</v>
      </c>
      <c r="G846">
        <v>36000</v>
      </c>
      <c r="H846">
        <v>5.7359999999999998</v>
      </c>
      <c r="I846">
        <v>713</v>
      </c>
      <c r="J846">
        <v>43</v>
      </c>
      <c r="K846">
        <v>40</v>
      </c>
    </row>
    <row r="847" spans="1:11" x14ac:dyDescent="0.3">
      <c r="A847" t="s">
        <v>1708</v>
      </c>
      <c r="B847" t="s">
        <v>1709</v>
      </c>
      <c r="C847">
        <v>109</v>
      </c>
      <c r="D847" t="s">
        <v>28</v>
      </c>
      <c r="E847" s="1">
        <v>45233</v>
      </c>
      <c r="F847">
        <v>5.9</v>
      </c>
      <c r="G847">
        <v>14000</v>
      </c>
      <c r="H847">
        <v>6.3659999999999997</v>
      </c>
      <c r="I847">
        <v>387</v>
      </c>
      <c r="J847">
        <v>47</v>
      </c>
      <c r="K847">
        <v>40</v>
      </c>
    </row>
    <row r="848" spans="1:11" x14ac:dyDescent="0.3">
      <c r="A848" t="s">
        <v>1710</v>
      </c>
      <c r="B848" t="s">
        <v>1711</v>
      </c>
      <c r="C848">
        <v>117</v>
      </c>
      <c r="D848" t="s">
        <v>12</v>
      </c>
      <c r="E848" s="1">
        <v>44883</v>
      </c>
      <c r="F848">
        <v>6.7</v>
      </c>
      <c r="G848">
        <v>34000</v>
      </c>
      <c r="H848">
        <v>7.2789999999999999</v>
      </c>
      <c r="I848">
        <v>927</v>
      </c>
      <c r="J848">
        <v>40</v>
      </c>
      <c r="K848">
        <v>40</v>
      </c>
    </row>
    <row r="849" spans="1:11" x14ac:dyDescent="0.3">
      <c r="A849" t="s">
        <v>1712</v>
      </c>
      <c r="B849" t="s">
        <v>1713</v>
      </c>
      <c r="C849">
        <v>111</v>
      </c>
      <c r="D849" t="s">
        <v>28</v>
      </c>
      <c r="E849" s="1">
        <v>44848</v>
      </c>
      <c r="F849">
        <v>5</v>
      </c>
      <c r="G849">
        <v>78000</v>
      </c>
      <c r="H849">
        <v>6.0330000000000004</v>
      </c>
      <c r="I849">
        <v>1993</v>
      </c>
      <c r="J849">
        <v>47</v>
      </c>
      <c r="K849">
        <v>40</v>
      </c>
    </row>
    <row r="850" spans="1:11" x14ac:dyDescent="0.3">
      <c r="A850" t="s">
        <v>1714</v>
      </c>
      <c r="B850" t="s">
        <v>1715</v>
      </c>
      <c r="C850">
        <v>96</v>
      </c>
      <c r="D850" t="s">
        <v>15</v>
      </c>
      <c r="E850" s="1">
        <v>44778</v>
      </c>
      <c r="F850">
        <v>5.3</v>
      </c>
      <c r="G850">
        <v>2900</v>
      </c>
      <c r="H850">
        <v>5.798</v>
      </c>
      <c r="I850">
        <v>47</v>
      </c>
      <c r="J850">
        <v>41</v>
      </c>
      <c r="K850">
        <v>40</v>
      </c>
    </row>
    <row r="851" spans="1:11" x14ac:dyDescent="0.3">
      <c r="A851" t="s">
        <v>1716</v>
      </c>
      <c r="B851" t="s">
        <v>1717</v>
      </c>
      <c r="C851">
        <v>104</v>
      </c>
      <c r="D851" t="s">
        <v>28</v>
      </c>
      <c r="E851" s="1">
        <v>45730</v>
      </c>
      <c r="F851">
        <v>5.9</v>
      </c>
      <c r="G851">
        <v>1900</v>
      </c>
      <c r="H851">
        <v>5.742</v>
      </c>
      <c r="I851">
        <v>219</v>
      </c>
      <c r="J851">
        <v>42</v>
      </c>
      <c r="K851">
        <v>39</v>
      </c>
    </row>
    <row r="852" spans="1:11" x14ac:dyDescent="0.3">
      <c r="A852" t="s">
        <v>1718</v>
      </c>
      <c r="B852" t="s">
        <v>1719</v>
      </c>
      <c r="C852">
        <v>89</v>
      </c>
      <c r="D852" t="s">
        <v>18</v>
      </c>
      <c r="E852" s="1">
        <v>45670</v>
      </c>
      <c r="F852">
        <v>5.9</v>
      </c>
      <c r="G852">
        <v>1200</v>
      </c>
      <c r="H852">
        <v>5.7</v>
      </c>
      <c r="I852">
        <v>219</v>
      </c>
      <c r="J852">
        <v>50</v>
      </c>
      <c r="K852">
        <v>39</v>
      </c>
    </row>
    <row r="853" spans="1:11" x14ac:dyDescent="0.3">
      <c r="A853" t="s">
        <v>1720</v>
      </c>
      <c r="B853" t="s">
        <v>1721</v>
      </c>
      <c r="C853">
        <v>87</v>
      </c>
      <c r="D853" t="s">
        <v>90</v>
      </c>
      <c r="E853" s="1">
        <v>45616</v>
      </c>
      <c r="F853">
        <v>4.8</v>
      </c>
      <c r="G853">
        <v>10000</v>
      </c>
      <c r="H853">
        <v>5.7939999999999996</v>
      </c>
      <c r="I853">
        <v>238</v>
      </c>
      <c r="J853">
        <v>34</v>
      </c>
      <c r="K853">
        <v>39</v>
      </c>
    </row>
    <row r="854" spans="1:11" x14ac:dyDescent="0.3">
      <c r="A854" t="s">
        <v>1722</v>
      </c>
      <c r="B854" t="s">
        <v>1723</v>
      </c>
      <c r="C854">
        <v>94</v>
      </c>
      <c r="D854" t="s">
        <v>28</v>
      </c>
      <c r="E854" s="1">
        <v>45576</v>
      </c>
      <c r="F854">
        <v>5.7</v>
      </c>
      <c r="G854">
        <v>11000</v>
      </c>
      <c r="H854">
        <v>6.1</v>
      </c>
      <c r="I854">
        <v>202</v>
      </c>
      <c r="J854">
        <v>46</v>
      </c>
      <c r="K854">
        <v>39</v>
      </c>
    </row>
    <row r="855" spans="1:11" x14ac:dyDescent="0.3">
      <c r="A855" t="s">
        <v>1724</v>
      </c>
      <c r="B855" t="s">
        <v>1725</v>
      </c>
      <c r="C855">
        <v>97</v>
      </c>
      <c r="D855" t="s">
        <v>15</v>
      </c>
      <c r="E855" s="1">
        <v>45415</v>
      </c>
      <c r="F855">
        <v>5.5</v>
      </c>
      <c r="G855">
        <v>35000</v>
      </c>
      <c r="H855">
        <v>5.3470000000000004</v>
      </c>
      <c r="I855">
        <v>350</v>
      </c>
      <c r="J855">
        <v>42</v>
      </c>
      <c r="K855">
        <v>39</v>
      </c>
    </row>
    <row r="856" spans="1:11" x14ac:dyDescent="0.3">
      <c r="A856" t="s">
        <v>1726</v>
      </c>
      <c r="B856" t="s">
        <v>1727</v>
      </c>
      <c r="C856">
        <v>107</v>
      </c>
      <c r="D856" t="s">
        <v>15</v>
      </c>
      <c r="E856" s="1">
        <v>45114</v>
      </c>
      <c r="F856">
        <v>5.5</v>
      </c>
      <c r="G856">
        <v>57000</v>
      </c>
      <c r="H856">
        <v>6.5</v>
      </c>
      <c r="I856">
        <v>1936</v>
      </c>
      <c r="J856">
        <v>45</v>
      </c>
      <c r="K856">
        <v>39</v>
      </c>
    </row>
    <row r="857" spans="1:11" x14ac:dyDescent="0.3">
      <c r="A857" t="s">
        <v>1728</v>
      </c>
      <c r="B857" t="s">
        <v>1729</v>
      </c>
      <c r="C857">
        <v>117</v>
      </c>
      <c r="D857" t="s">
        <v>28</v>
      </c>
      <c r="E857" s="1">
        <v>44953</v>
      </c>
      <c r="F857">
        <v>5.5</v>
      </c>
      <c r="G857">
        <v>65000</v>
      </c>
      <c r="H857">
        <v>5.6</v>
      </c>
      <c r="I857">
        <v>763</v>
      </c>
      <c r="J857">
        <v>50</v>
      </c>
      <c r="K857">
        <v>39</v>
      </c>
    </row>
    <row r="858" spans="1:11" x14ac:dyDescent="0.3">
      <c r="A858" t="s">
        <v>1730</v>
      </c>
      <c r="B858" t="s">
        <v>1731</v>
      </c>
      <c r="C858">
        <v>125</v>
      </c>
      <c r="D858" t="s">
        <v>15</v>
      </c>
      <c r="E858" s="1">
        <v>44855</v>
      </c>
      <c r="F858">
        <v>6.2</v>
      </c>
      <c r="G858">
        <v>290000</v>
      </c>
      <c r="H858">
        <v>6.8150000000000004</v>
      </c>
      <c r="I858">
        <v>6952</v>
      </c>
      <c r="J858">
        <v>41</v>
      </c>
      <c r="K858">
        <v>39</v>
      </c>
    </row>
    <row r="859" spans="1:11" x14ac:dyDescent="0.3">
      <c r="A859" t="s">
        <v>1732</v>
      </c>
      <c r="B859" t="s">
        <v>1733</v>
      </c>
      <c r="C859">
        <v>125</v>
      </c>
      <c r="D859" t="s">
        <v>28</v>
      </c>
      <c r="E859" s="1">
        <v>44813</v>
      </c>
      <c r="F859">
        <v>5.9</v>
      </c>
      <c r="G859">
        <v>14000</v>
      </c>
      <c r="H859">
        <v>6.9</v>
      </c>
      <c r="I859">
        <v>533</v>
      </c>
      <c r="J859">
        <v>46</v>
      </c>
      <c r="K859">
        <v>39</v>
      </c>
    </row>
    <row r="860" spans="1:11" x14ac:dyDescent="0.3">
      <c r="A860" t="s">
        <v>1734</v>
      </c>
      <c r="B860" t="s">
        <v>1735</v>
      </c>
      <c r="C860">
        <v>106</v>
      </c>
      <c r="D860" t="s">
        <v>28</v>
      </c>
      <c r="E860" s="1">
        <v>44729</v>
      </c>
      <c r="F860">
        <v>5.5</v>
      </c>
      <c r="G860">
        <v>69000</v>
      </c>
      <c r="H860">
        <v>5.7949999999999999</v>
      </c>
      <c r="I860">
        <v>1728</v>
      </c>
      <c r="J860">
        <v>54</v>
      </c>
      <c r="K860">
        <v>39</v>
      </c>
    </row>
    <row r="861" spans="1:11" x14ac:dyDescent="0.3">
      <c r="A861" t="s">
        <v>1736</v>
      </c>
      <c r="B861" t="s">
        <v>1737</v>
      </c>
      <c r="C861">
        <v>99</v>
      </c>
      <c r="D861" t="s">
        <v>28</v>
      </c>
      <c r="E861" s="1">
        <v>45573</v>
      </c>
      <c r="F861">
        <v>4.5</v>
      </c>
      <c r="G861">
        <v>13000</v>
      </c>
      <c r="H861">
        <v>5.2</v>
      </c>
      <c r="I861">
        <v>533</v>
      </c>
      <c r="J861">
        <v>44</v>
      </c>
      <c r="K861">
        <v>38</v>
      </c>
    </row>
    <row r="862" spans="1:11" x14ac:dyDescent="0.3">
      <c r="A862" t="s">
        <v>1738</v>
      </c>
      <c r="B862" t="s">
        <v>1739</v>
      </c>
      <c r="C862">
        <v>108</v>
      </c>
      <c r="D862" t="s">
        <v>28</v>
      </c>
      <c r="E862" s="1">
        <v>45534</v>
      </c>
      <c r="F862">
        <v>5.7</v>
      </c>
      <c r="G862">
        <v>8900</v>
      </c>
      <c r="H862">
        <v>6.1429999999999998</v>
      </c>
      <c r="I862">
        <v>235</v>
      </c>
      <c r="J862">
        <v>52</v>
      </c>
      <c r="K862">
        <v>38</v>
      </c>
    </row>
    <row r="863" spans="1:11" x14ac:dyDescent="0.3">
      <c r="A863" t="s">
        <v>1740</v>
      </c>
      <c r="B863" t="s">
        <v>1741</v>
      </c>
      <c r="C863">
        <v>166</v>
      </c>
      <c r="D863" t="s">
        <v>18</v>
      </c>
      <c r="E863" s="1">
        <v>45316</v>
      </c>
      <c r="F863">
        <v>6.2</v>
      </c>
      <c r="G863">
        <v>52000</v>
      </c>
      <c r="H863">
        <v>6.141</v>
      </c>
      <c r="I863">
        <v>156</v>
      </c>
      <c r="J863">
        <v>63</v>
      </c>
      <c r="K863">
        <v>38</v>
      </c>
    </row>
    <row r="864" spans="1:11" x14ac:dyDescent="0.3">
      <c r="A864" t="s">
        <v>1742</v>
      </c>
      <c r="B864" t="s">
        <v>1743</v>
      </c>
      <c r="C864">
        <v>123</v>
      </c>
      <c r="D864" t="s">
        <v>15</v>
      </c>
      <c r="E864" s="1">
        <v>45135</v>
      </c>
      <c r="F864">
        <v>6</v>
      </c>
      <c r="G864">
        <v>47000</v>
      </c>
      <c r="H864">
        <v>6.431</v>
      </c>
      <c r="I864">
        <v>1219</v>
      </c>
      <c r="J864">
        <v>47</v>
      </c>
      <c r="K864">
        <v>38</v>
      </c>
    </row>
    <row r="865" spans="1:11" x14ac:dyDescent="0.3">
      <c r="A865" t="s">
        <v>1744</v>
      </c>
      <c r="B865" t="s">
        <v>1745</v>
      </c>
      <c r="C865">
        <v>147</v>
      </c>
      <c r="D865" t="s">
        <v>15</v>
      </c>
      <c r="E865" s="1">
        <v>44853</v>
      </c>
      <c r="F865">
        <v>5.9</v>
      </c>
      <c r="G865">
        <v>39000</v>
      </c>
      <c r="H865">
        <v>7.0330000000000004</v>
      </c>
      <c r="I865">
        <v>1365</v>
      </c>
      <c r="J865">
        <v>30</v>
      </c>
      <c r="K865">
        <v>38</v>
      </c>
    </row>
    <row r="866" spans="1:11" x14ac:dyDescent="0.3">
      <c r="A866" t="s">
        <v>1746</v>
      </c>
      <c r="B866" t="s">
        <v>1747</v>
      </c>
      <c r="C866">
        <v>123</v>
      </c>
      <c r="D866" t="s">
        <v>28</v>
      </c>
      <c r="E866" s="1">
        <v>44827</v>
      </c>
      <c r="F866">
        <v>6.3</v>
      </c>
      <c r="G866">
        <v>163000</v>
      </c>
      <c r="H866">
        <v>6.7709999999999999</v>
      </c>
      <c r="I866">
        <v>2905</v>
      </c>
      <c r="J866">
        <v>48</v>
      </c>
      <c r="K866">
        <v>38</v>
      </c>
    </row>
    <row r="867" spans="1:11" x14ac:dyDescent="0.3">
      <c r="A867" t="s">
        <v>1748</v>
      </c>
      <c r="B867" t="s">
        <v>1749</v>
      </c>
      <c r="C867">
        <v>102</v>
      </c>
      <c r="D867" t="s">
        <v>15</v>
      </c>
      <c r="E867" s="1">
        <v>44799</v>
      </c>
      <c r="F867">
        <v>5.7</v>
      </c>
      <c r="G867">
        <v>58000</v>
      </c>
      <c r="H867">
        <v>6.657</v>
      </c>
      <c r="I867">
        <v>2166</v>
      </c>
      <c r="J867">
        <v>45</v>
      </c>
      <c r="K867">
        <v>38</v>
      </c>
    </row>
    <row r="868" spans="1:11" x14ac:dyDescent="0.3">
      <c r="A868" t="s">
        <v>1750</v>
      </c>
      <c r="B868" t="s">
        <v>1751</v>
      </c>
      <c r="C868">
        <v>90</v>
      </c>
      <c r="D868" t="s">
        <v>18</v>
      </c>
      <c r="E868" s="1">
        <v>44750</v>
      </c>
      <c r="F868">
        <v>6.7</v>
      </c>
      <c r="G868">
        <v>2300</v>
      </c>
      <c r="H868">
        <v>6.274</v>
      </c>
      <c r="I868">
        <v>31</v>
      </c>
      <c r="J868">
        <v>40</v>
      </c>
      <c r="K868">
        <v>38</v>
      </c>
    </row>
    <row r="869" spans="1:11" x14ac:dyDescent="0.3">
      <c r="A869" t="s">
        <v>1752</v>
      </c>
      <c r="B869" t="s">
        <v>1753</v>
      </c>
      <c r="C869">
        <v>101</v>
      </c>
      <c r="D869" t="s">
        <v>90</v>
      </c>
      <c r="E869" s="1">
        <v>45623</v>
      </c>
      <c r="F869">
        <v>5.7</v>
      </c>
      <c r="G869">
        <v>23000</v>
      </c>
      <c r="H869">
        <v>6.2430000000000003</v>
      </c>
      <c r="I869">
        <v>571</v>
      </c>
      <c r="J869">
        <v>41</v>
      </c>
      <c r="K869">
        <v>37</v>
      </c>
    </row>
    <row r="870" spans="1:11" x14ac:dyDescent="0.3">
      <c r="A870" t="s">
        <v>1754</v>
      </c>
      <c r="B870" t="s">
        <v>1755</v>
      </c>
      <c r="C870">
        <v>90</v>
      </c>
      <c r="D870" t="s">
        <v>15</v>
      </c>
      <c r="E870" s="1">
        <v>45072</v>
      </c>
      <c r="F870">
        <v>5.7</v>
      </c>
      <c r="G870">
        <v>16000</v>
      </c>
      <c r="H870">
        <v>6</v>
      </c>
      <c r="I870">
        <v>407</v>
      </c>
      <c r="J870">
        <v>39</v>
      </c>
      <c r="K870">
        <v>37</v>
      </c>
    </row>
    <row r="871" spans="1:11" x14ac:dyDescent="0.3">
      <c r="A871" t="s">
        <v>1756</v>
      </c>
      <c r="B871" t="s">
        <v>1757</v>
      </c>
      <c r="C871">
        <v>104</v>
      </c>
      <c r="D871" t="s">
        <v>28</v>
      </c>
      <c r="E871" s="1">
        <v>45006</v>
      </c>
      <c r="F871">
        <v>5.3</v>
      </c>
      <c r="G871">
        <v>568</v>
      </c>
      <c r="H871">
        <v>4</v>
      </c>
      <c r="I871">
        <v>14</v>
      </c>
      <c r="J871">
        <v>56</v>
      </c>
      <c r="K871">
        <v>37</v>
      </c>
    </row>
    <row r="872" spans="1:11" x14ac:dyDescent="0.3">
      <c r="A872" t="s">
        <v>1758</v>
      </c>
      <c r="B872" t="s">
        <v>1759</v>
      </c>
      <c r="C872">
        <v>92</v>
      </c>
      <c r="D872" t="s">
        <v>28</v>
      </c>
      <c r="E872" s="1">
        <v>44820</v>
      </c>
      <c r="F872">
        <v>5.7</v>
      </c>
      <c r="G872">
        <v>17000</v>
      </c>
      <c r="H872">
        <v>6.2619999999999996</v>
      </c>
      <c r="I872">
        <v>537</v>
      </c>
      <c r="J872">
        <v>45</v>
      </c>
      <c r="K872">
        <v>37</v>
      </c>
    </row>
    <row r="873" spans="1:11" x14ac:dyDescent="0.3">
      <c r="A873" t="s">
        <v>1760</v>
      </c>
      <c r="B873" t="s">
        <v>1761</v>
      </c>
      <c r="C873">
        <v>104</v>
      </c>
      <c r="D873" t="s">
        <v>15</v>
      </c>
      <c r="E873" s="1">
        <v>45597</v>
      </c>
      <c r="F873">
        <v>6.3</v>
      </c>
      <c r="G873">
        <v>19000</v>
      </c>
      <c r="H873">
        <v>6.5270000000000001</v>
      </c>
      <c r="I873">
        <v>645</v>
      </c>
      <c r="J873">
        <v>39</v>
      </c>
      <c r="K873">
        <v>36</v>
      </c>
    </row>
    <row r="874" spans="1:11" x14ac:dyDescent="0.3">
      <c r="A874" t="s">
        <v>1762</v>
      </c>
      <c r="B874" t="s">
        <v>1763</v>
      </c>
      <c r="C874">
        <v>101</v>
      </c>
      <c r="D874" t="s">
        <v>12</v>
      </c>
      <c r="E874" s="1">
        <v>45436</v>
      </c>
      <c r="F874">
        <v>5.7</v>
      </c>
      <c r="G874">
        <v>24000</v>
      </c>
      <c r="H874">
        <v>6.9980000000000002</v>
      </c>
      <c r="I874">
        <v>1418</v>
      </c>
      <c r="J874">
        <v>31</v>
      </c>
      <c r="K874">
        <v>36</v>
      </c>
    </row>
    <row r="875" spans="1:11" x14ac:dyDescent="0.3">
      <c r="A875" t="s">
        <v>1764</v>
      </c>
      <c r="B875" t="s">
        <v>1765</v>
      </c>
      <c r="C875">
        <v>107</v>
      </c>
      <c r="D875" t="s">
        <v>12</v>
      </c>
      <c r="E875" s="1">
        <v>44638</v>
      </c>
      <c r="F875">
        <v>4.5999999999999996</v>
      </c>
      <c r="G875">
        <v>7100</v>
      </c>
      <c r="H875">
        <v>6.4</v>
      </c>
      <c r="I875">
        <v>266</v>
      </c>
      <c r="J875">
        <v>42</v>
      </c>
      <c r="K875">
        <v>36</v>
      </c>
    </row>
    <row r="876" spans="1:11" x14ac:dyDescent="0.3">
      <c r="A876" t="s">
        <v>1766</v>
      </c>
      <c r="B876" t="s">
        <v>1767</v>
      </c>
      <c r="C876">
        <v>105</v>
      </c>
      <c r="D876" t="s">
        <v>632</v>
      </c>
      <c r="E876" s="1">
        <v>44617</v>
      </c>
      <c r="F876">
        <v>5.7</v>
      </c>
      <c r="G876">
        <v>5200</v>
      </c>
      <c r="H876">
        <v>6.8</v>
      </c>
      <c r="I876">
        <v>137</v>
      </c>
      <c r="J876">
        <v>42</v>
      </c>
      <c r="K876">
        <v>36</v>
      </c>
    </row>
    <row r="877" spans="1:11" x14ac:dyDescent="0.3">
      <c r="A877" t="s">
        <v>1768</v>
      </c>
      <c r="B877" t="s">
        <v>1769</v>
      </c>
      <c r="C877">
        <v>99</v>
      </c>
      <c r="D877" t="s">
        <v>63</v>
      </c>
      <c r="E877" s="1">
        <v>45569</v>
      </c>
      <c r="F877">
        <v>4.9000000000000004</v>
      </c>
      <c r="G877">
        <v>39000</v>
      </c>
      <c r="H877">
        <v>5.5629999999999997</v>
      </c>
      <c r="I877">
        <v>1402</v>
      </c>
      <c r="J877">
        <v>45</v>
      </c>
      <c r="K877">
        <v>35</v>
      </c>
    </row>
    <row r="878" spans="1:11" x14ac:dyDescent="0.3">
      <c r="A878" t="s">
        <v>1770</v>
      </c>
      <c r="B878" t="s">
        <v>1771</v>
      </c>
      <c r="C878">
        <v>107</v>
      </c>
      <c r="D878" t="s">
        <v>15</v>
      </c>
      <c r="E878" s="1">
        <v>45520</v>
      </c>
      <c r="F878">
        <v>5.4</v>
      </c>
      <c r="G878">
        <v>52000</v>
      </c>
      <c r="H878">
        <v>6.0730000000000004</v>
      </c>
      <c r="I878">
        <v>1137</v>
      </c>
      <c r="J878">
        <v>44</v>
      </c>
      <c r="K878">
        <v>35</v>
      </c>
    </row>
    <row r="879" spans="1:11" x14ac:dyDescent="0.3">
      <c r="A879" t="s">
        <v>1772</v>
      </c>
      <c r="B879" t="s">
        <v>1773</v>
      </c>
      <c r="C879">
        <v>122</v>
      </c>
      <c r="D879" t="s">
        <v>28</v>
      </c>
      <c r="E879" s="1">
        <v>45429</v>
      </c>
      <c r="F879">
        <v>6.3</v>
      </c>
      <c r="G879">
        <v>26000</v>
      </c>
      <c r="H879">
        <v>6.6550000000000002</v>
      </c>
      <c r="I879">
        <v>692</v>
      </c>
      <c r="J879">
        <v>43</v>
      </c>
      <c r="K879">
        <v>35</v>
      </c>
    </row>
    <row r="880" spans="1:11" x14ac:dyDescent="0.3">
      <c r="A880" t="s">
        <v>1774</v>
      </c>
      <c r="B880" t="s">
        <v>1775</v>
      </c>
      <c r="C880">
        <v>103</v>
      </c>
      <c r="D880" t="s">
        <v>90</v>
      </c>
      <c r="E880" s="1">
        <v>45134</v>
      </c>
      <c r="F880">
        <v>6.1</v>
      </c>
      <c r="G880">
        <v>21000</v>
      </c>
      <c r="H880">
        <v>6.15</v>
      </c>
      <c r="I880">
        <v>307</v>
      </c>
      <c r="J880">
        <v>48</v>
      </c>
      <c r="K880">
        <v>35</v>
      </c>
    </row>
    <row r="881" spans="1:11" x14ac:dyDescent="0.3">
      <c r="A881" t="s">
        <v>1776</v>
      </c>
      <c r="B881">
        <v>65</v>
      </c>
      <c r="C881">
        <v>93</v>
      </c>
      <c r="D881" t="s">
        <v>15</v>
      </c>
      <c r="E881" s="1">
        <v>44995</v>
      </c>
      <c r="F881">
        <v>5.4</v>
      </c>
      <c r="G881">
        <v>99000</v>
      </c>
      <c r="H881">
        <v>5.95</v>
      </c>
      <c r="I881">
        <v>2806</v>
      </c>
      <c r="J881">
        <v>40</v>
      </c>
      <c r="K881">
        <v>35</v>
      </c>
    </row>
    <row r="882" spans="1:11" x14ac:dyDescent="0.3">
      <c r="A882" t="s">
        <v>1777</v>
      </c>
      <c r="B882" t="s">
        <v>1778</v>
      </c>
      <c r="C882">
        <v>110</v>
      </c>
      <c r="D882" t="s">
        <v>18</v>
      </c>
      <c r="E882" s="1">
        <v>44819</v>
      </c>
      <c r="F882">
        <v>5</v>
      </c>
      <c r="G882">
        <v>4800</v>
      </c>
      <c r="H882">
        <v>5.3310000000000004</v>
      </c>
      <c r="I882">
        <v>160</v>
      </c>
      <c r="J882">
        <v>49</v>
      </c>
      <c r="K882">
        <v>35</v>
      </c>
    </row>
    <row r="883" spans="1:11" x14ac:dyDescent="0.3">
      <c r="A883" t="s">
        <v>1779</v>
      </c>
      <c r="B883" t="s">
        <v>1780</v>
      </c>
      <c r="C883">
        <v>115</v>
      </c>
      <c r="D883" t="s">
        <v>28</v>
      </c>
      <c r="E883" s="1">
        <v>44638</v>
      </c>
      <c r="F883">
        <v>5.5</v>
      </c>
      <c r="G883">
        <v>64000</v>
      </c>
      <c r="H883">
        <v>5.82</v>
      </c>
      <c r="I883">
        <v>1615</v>
      </c>
      <c r="J883">
        <v>53</v>
      </c>
      <c r="K883">
        <v>35</v>
      </c>
    </row>
    <row r="884" spans="1:11" x14ac:dyDescent="0.3">
      <c r="A884" t="s">
        <v>1781</v>
      </c>
      <c r="B884" t="s">
        <v>1782</v>
      </c>
      <c r="C884">
        <v>112</v>
      </c>
      <c r="D884" t="s">
        <v>28</v>
      </c>
      <c r="E884" s="1">
        <v>45534</v>
      </c>
      <c r="F884">
        <v>5.0999999999999996</v>
      </c>
      <c r="G884">
        <v>22000</v>
      </c>
      <c r="H884">
        <v>5.976</v>
      </c>
      <c r="I884">
        <v>536</v>
      </c>
      <c r="J884">
        <v>39</v>
      </c>
      <c r="K884">
        <v>34</v>
      </c>
    </row>
    <row r="885" spans="1:11" x14ac:dyDescent="0.3">
      <c r="A885" t="s">
        <v>1783</v>
      </c>
      <c r="B885" t="s">
        <v>1784</v>
      </c>
      <c r="C885">
        <v>104</v>
      </c>
      <c r="D885" t="s">
        <v>28</v>
      </c>
      <c r="E885" s="1">
        <v>45079</v>
      </c>
      <c r="F885">
        <v>4.5</v>
      </c>
      <c r="G885">
        <v>1600</v>
      </c>
      <c r="H885">
        <v>4.9000000000000004</v>
      </c>
      <c r="I885">
        <v>40</v>
      </c>
      <c r="J885">
        <v>41</v>
      </c>
      <c r="K885">
        <v>34</v>
      </c>
    </row>
    <row r="886" spans="1:11" x14ac:dyDescent="0.3">
      <c r="A886" t="s">
        <v>1785</v>
      </c>
      <c r="B886" t="s">
        <v>1786</v>
      </c>
      <c r="C886">
        <v>85</v>
      </c>
      <c r="D886" t="s">
        <v>15</v>
      </c>
      <c r="E886" s="1">
        <v>44837</v>
      </c>
      <c r="F886">
        <v>4.4000000000000004</v>
      </c>
      <c r="G886">
        <v>506</v>
      </c>
      <c r="H886">
        <v>4.5999999999999996</v>
      </c>
      <c r="I886">
        <v>23</v>
      </c>
      <c r="J886">
        <v>50</v>
      </c>
      <c r="K886">
        <v>34</v>
      </c>
    </row>
    <row r="887" spans="1:11" x14ac:dyDescent="0.3">
      <c r="A887" t="s">
        <v>1787</v>
      </c>
      <c r="B887" t="s">
        <v>1788</v>
      </c>
      <c r="C887">
        <v>125</v>
      </c>
      <c r="D887" t="s">
        <v>15</v>
      </c>
      <c r="E887" s="1">
        <v>44757</v>
      </c>
      <c r="F887">
        <v>7.2</v>
      </c>
      <c r="G887">
        <v>145000</v>
      </c>
      <c r="H887">
        <v>7.5289999999999999</v>
      </c>
      <c r="I887">
        <v>2261</v>
      </c>
      <c r="J887">
        <v>43</v>
      </c>
      <c r="K887">
        <v>34</v>
      </c>
    </row>
    <row r="888" spans="1:11" x14ac:dyDescent="0.3">
      <c r="A888" t="s">
        <v>1789</v>
      </c>
      <c r="B888" t="s">
        <v>1790</v>
      </c>
      <c r="C888">
        <v>99</v>
      </c>
      <c r="D888" t="s">
        <v>15</v>
      </c>
      <c r="E888" s="1">
        <v>45674</v>
      </c>
      <c r="F888">
        <v>4.7</v>
      </c>
      <c r="G888">
        <v>428</v>
      </c>
      <c r="H888">
        <v>6.1429999999999998</v>
      </c>
      <c r="I888">
        <v>28</v>
      </c>
      <c r="J888">
        <v>50</v>
      </c>
      <c r="K888">
        <v>33</v>
      </c>
    </row>
    <row r="889" spans="1:11" x14ac:dyDescent="0.3">
      <c r="A889" t="s">
        <v>1791</v>
      </c>
      <c r="B889" t="s">
        <v>1792</v>
      </c>
      <c r="C889">
        <v>102</v>
      </c>
      <c r="D889" t="s">
        <v>15</v>
      </c>
      <c r="E889" s="1">
        <v>45450</v>
      </c>
      <c r="F889">
        <v>5.7</v>
      </c>
      <c r="G889">
        <v>56000</v>
      </c>
      <c r="H889">
        <v>6.351</v>
      </c>
      <c r="I889">
        <v>1552</v>
      </c>
      <c r="J889">
        <v>46</v>
      </c>
      <c r="K889">
        <v>33</v>
      </c>
    </row>
    <row r="890" spans="1:11" x14ac:dyDescent="0.3">
      <c r="A890" t="s">
        <v>1793</v>
      </c>
      <c r="B890" t="s">
        <v>1794</v>
      </c>
      <c r="C890">
        <v>139</v>
      </c>
      <c r="D890" t="s">
        <v>15</v>
      </c>
      <c r="E890" s="1">
        <v>45324</v>
      </c>
      <c r="F890">
        <v>5.6</v>
      </c>
      <c r="G890">
        <v>92000</v>
      </c>
      <c r="H890">
        <v>5.9939999999999998</v>
      </c>
      <c r="I890">
        <v>1707</v>
      </c>
      <c r="J890">
        <v>35</v>
      </c>
      <c r="K890">
        <v>33</v>
      </c>
    </row>
    <row r="891" spans="1:11" x14ac:dyDescent="0.3">
      <c r="A891" t="s">
        <v>1795</v>
      </c>
      <c r="B891" t="s">
        <v>1796</v>
      </c>
      <c r="C891">
        <v>124</v>
      </c>
      <c r="D891" t="s">
        <v>15</v>
      </c>
      <c r="E891" s="1">
        <v>45282</v>
      </c>
      <c r="F891">
        <v>5.6</v>
      </c>
      <c r="G891">
        <v>105000</v>
      </c>
      <c r="H891">
        <v>6.5270000000000001</v>
      </c>
      <c r="I891">
        <v>3440</v>
      </c>
      <c r="J891">
        <v>42</v>
      </c>
      <c r="K891">
        <v>33</v>
      </c>
    </row>
    <row r="892" spans="1:11" x14ac:dyDescent="0.3">
      <c r="A892" t="s">
        <v>1797</v>
      </c>
      <c r="B892" t="s">
        <v>1798</v>
      </c>
      <c r="C892">
        <v>109</v>
      </c>
      <c r="D892" t="s">
        <v>15</v>
      </c>
      <c r="E892" s="1">
        <v>45226</v>
      </c>
      <c r="F892">
        <v>5.4</v>
      </c>
      <c r="G892">
        <v>110000</v>
      </c>
      <c r="H892">
        <v>7.3</v>
      </c>
      <c r="I892">
        <v>4959</v>
      </c>
      <c r="J892">
        <v>33</v>
      </c>
      <c r="K892">
        <v>33</v>
      </c>
    </row>
    <row r="893" spans="1:11" x14ac:dyDescent="0.3">
      <c r="A893" t="s">
        <v>1799</v>
      </c>
      <c r="B893" t="s">
        <v>1800</v>
      </c>
      <c r="C893">
        <v>90</v>
      </c>
      <c r="D893" t="s">
        <v>18</v>
      </c>
      <c r="E893" s="1">
        <v>45194</v>
      </c>
      <c r="F893">
        <v>6.5</v>
      </c>
      <c r="G893">
        <v>443</v>
      </c>
      <c r="H893">
        <v>4.4000000000000004</v>
      </c>
      <c r="I893">
        <v>11</v>
      </c>
      <c r="J893">
        <v>46</v>
      </c>
      <c r="K893">
        <v>33</v>
      </c>
    </row>
    <row r="894" spans="1:11" x14ac:dyDescent="0.3">
      <c r="A894" t="s">
        <v>1801</v>
      </c>
      <c r="B894" t="s">
        <v>1802</v>
      </c>
      <c r="C894">
        <v>104</v>
      </c>
      <c r="D894" t="s">
        <v>63</v>
      </c>
      <c r="E894" s="1">
        <v>44778</v>
      </c>
      <c r="F894">
        <v>4</v>
      </c>
      <c r="G894">
        <v>13000</v>
      </c>
      <c r="H894">
        <v>4.7</v>
      </c>
      <c r="I894">
        <v>247</v>
      </c>
      <c r="J894">
        <v>46</v>
      </c>
      <c r="K894">
        <v>33</v>
      </c>
    </row>
    <row r="895" spans="1:11" x14ac:dyDescent="0.3">
      <c r="A895" t="s">
        <v>1803</v>
      </c>
      <c r="B895" t="s">
        <v>1804</v>
      </c>
      <c r="C895">
        <v>106</v>
      </c>
      <c r="D895" t="s">
        <v>28</v>
      </c>
      <c r="E895" s="1">
        <v>45519</v>
      </c>
      <c r="F895">
        <v>5.8</v>
      </c>
      <c r="G895">
        <v>30000</v>
      </c>
      <c r="H895">
        <v>6.37</v>
      </c>
      <c r="I895">
        <v>779</v>
      </c>
      <c r="J895">
        <v>41</v>
      </c>
      <c r="K895">
        <v>32</v>
      </c>
    </row>
    <row r="896" spans="1:11" x14ac:dyDescent="0.3">
      <c r="A896" t="s">
        <v>1805</v>
      </c>
      <c r="B896" t="s">
        <v>1806</v>
      </c>
      <c r="C896">
        <v>93</v>
      </c>
      <c r="D896" t="s">
        <v>28</v>
      </c>
      <c r="E896" s="1">
        <v>45058</v>
      </c>
      <c r="F896">
        <v>5.5</v>
      </c>
      <c r="G896">
        <v>42000</v>
      </c>
      <c r="H896">
        <v>6.2</v>
      </c>
      <c r="I896">
        <v>1447</v>
      </c>
      <c r="J896">
        <v>53</v>
      </c>
      <c r="K896">
        <v>32</v>
      </c>
    </row>
    <row r="897" spans="1:11" x14ac:dyDescent="0.3">
      <c r="A897" t="s">
        <v>1807</v>
      </c>
      <c r="B897" t="s">
        <v>1808</v>
      </c>
      <c r="C897">
        <v>141</v>
      </c>
      <c r="D897" t="s">
        <v>63</v>
      </c>
      <c r="E897" s="1">
        <v>44952</v>
      </c>
      <c r="F897">
        <v>5.6</v>
      </c>
      <c r="G897">
        <v>16000</v>
      </c>
      <c r="H897">
        <v>7.468</v>
      </c>
      <c r="I897">
        <v>945</v>
      </c>
      <c r="J897">
        <v>51</v>
      </c>
      <c r="K897">
        <v>32</v>
      </c>
    </row>
    <row r="898" spans="1:11" x14ac:dyDescent="0.3">
      <c r="A898" t="s">
        <v>1809</v>
      </c>
      <c r="B898" t="s">
        <v>1810</v>
      </c>
      <c r="C898">
        <v>96</v>
      </c>
      <c r="D898" t="s">
        <v>28</v>
      </c>
      <c r="E898" s="1">
        <v>44889</v>
      </c>
      <c r="F898">
        <v>5.3</v>
      </c>
      <c r="G898">
        <v>6100</v>
      </c>
      <c r="H898">
        <v>5.4</v>
      </c>
      <c r="I898">
        <v>125</v>
      </c>
      <c r="J898">
        <v>37</v>
      </c>
      <c r="K898">
        <v>32</v>
      </c>
    </row>
    <row r="899" spans="1:11" x14ac:dyDescent="0.3">
      <c r="A899" t="s">
        <v>1811</v>
      </c>
      <c r="B899" t="s">
        <v>1812</v>
      </c>
      <c r="C899">
        <v>90</v>
      </c>
      <c r="D899" t="s">
        <v>28</v>
      </c>
      <c r="E899" s="1">
        <v>44826</v>
      </c>
      <c r="F899">
        <v>5.3</v>
      </c>
      <c r="G899">
        <v>5500</v>
      </c>
      <c r="H899">
        <v>7.0430000000000001</v>
      </c>
      <c r="I899">
        <v>482</v>
      </c>
      <c r="J899">
        <v>38</v>
      </c>
      <c r="K899">
        <v>32</v>
      </c>
    </row>
    <row r="900" spans="1:11" x14ac:dyDescent="0.3">
      <c r="A900" t="s">
        <v>1813</v>
      </c>
      <c r="B900" t="s">
        <v>1814</v>
      </c>
      <c r="C900">
        <v>105</v>
      </c>
      <c r="D900" t="s">
        <v>15</v>
      </c>
      <c r="E900" s="1">
        <v>44799</v>
      </c>
      <c r="F900">
        <v>5.3</v>
      </c>
      <c r="G900">
        <v>38000</v>
      </c>
      <c r="H900">
        <v>5.9960000000000004</v>
      </c>
      <c r="I900">
        <v>954</v>
      </c>
      <c r="J900">
        <v>45</v>
      </c>
      <c r="K900">
        <v>32</v>
      </c>
    </row>
    <row r="901" spans="1:11" x14ac:dyDescent="0.3">
      <c r="A901" t="s">
        <v>1815</v>
      </c>
      <c r="B901" t="s">
        <v>1816</v>
      </c>
      <c r="C901">
        <v>122</v>
      </c>
      <c r="D901" t="s">
        <v>90</v>
      </c>
      <c r="E901" s="1">
        <v>44771</v>
      </c>
      <c r="F901">
        <v>6.7</v>
      </c>
      <c r="G901">
        <v>62000</v>
      </c>
      <c r="H901">
        <v>8.0500000000000007</v>
      </c>
      <c r="I901">
        <v>2846</v>
      </c>
      <c r="J901">
        <v>30</v>
      </c>
      <c r="K901">
        <v>32</v>
      </c>
    </row>
    <row r="902" spans="1:11" x14ac:dyDescent="0.3">
      <c r="A902" t="s">
        <v>1817</v>
      </c>
      <c r="B902" t="s">
        <v>1818</v>
      </c>
      <c r="C902">
        <v>83</v>
      </c>
      <c r="D902" t="s">
        <v>15</v>
      </c>
      <c r="E902" s="1">
        <v>44638</v>
      </c>
      <c r="F902">
        <v>4.7</v>
      </c>
      <c r="G902">
        <v>11000</v>
      </c>
      <c r="H902">
        <v>5.3129999999999997</v>
      </c>
      <c r="I902">
        <v>327</v>
      </c>
      <c r="J902">
        <v>51</v>
      </c>
      <c r="K902">
        <v>32</v>
      </c>
    </row>
    <row r="903" spans="1:11" x14ac:dyDescent="0.3">
      <c r="A903" t="s">
        <v>1819</v>
      </c>
      <c r="B903" t="s">
        <v>1820</v>
      </c>
      <c r="C903">
        <v>138</v>
      </c>
      <c r="D903" t="s">
        <v>28</v>
      </c>
      <c r="E903" s="1">
        <v>45569</v>
      </c>
      <c r="F903">
        <v>5.2</v>
      </c>
      <c r="G903">
        <v>157000</v>
      </c>
      <c r="H903">
        <v>5.4</v>
      </c>
      <c r="I903">
        <v>2867</v>
      </c>
      <c r="J903">
        <v>45</v>
      </c>
      <c r="K903">
        <v>31</v>
      </c>
    </row>
    <row r="904" spans="1:11" x14ac:dyDescent="0.3">
      <c r="A904" t="s">
        <v>1821</v>
      </c>
      <c r="B904" t="s">
        <v>1822</v>
      </c>
      <c r="C904">
        <v>107</v>
      </c>
      <c r="D904" t="s">
        <v>15</v>
      </c>
      <c r="E904" s="1">
        <v>45303</v>
      </c>
      <c r="F904">
        <v>5.5</v>
      </c>
      <c r="G904">
        <v>49000</v>
      </c>
      <c r="H904">
        <v>6.4329999999999998</v>
      </c>
      <c r="I904">
        <v>1428</v>
      </c>
      <c r="J904">
        <v>40</v>
      </c>
      <c r="K904">
        <v>31</v>
      </c>
    </row>
    <row r="905" spans="1:11" x14ac:dyDescent="0.3">
      <c r="A905" t="s">
        <v>1823</v>
      </c>
      <c r="B905" t="s">
        <v>1824</v>
      </c>
      <c r="C905">
        <v>92</v>
      </c>
      <c r="D905" t="s">
        <v>15</v>
      </c>
      <c r="E905" s="1">
        <v>45177</v>
      </c>
      <c r="F905">
        <v>5.2</v>
      </c>
      <c r="G905">
        <v>11000</v>
      </c>
      <c r="H905">
        <v>5.9</v>
      </c>
      <c r="I905">
        <v>218</v>
      </c>
      <c r="J905">
        <v>35</v>
      </c>
      <c r="K905">
        <v>31</v>
      </c>
    </row>
    <row r="906" spans="1:11" x14ac:dyDescent="0.3">
      <c r="A906" t="s">
        <v>1825</v>
      </c>
      <c r="B906" t="s">
        <v>1826</v>
      </c>
      <c r="C906">
        <v>122</v>
      </c>
      <c r="D906" t="s">
        <v>15</v>
      </c>
      <c r="E906" s="1">
        <v>45149</v>
      </c>
      <c r="F906">
        <v>5.7</v>
      </c>
      <c r="G906">
        <v>65000</v>
      </c>
      <c r="H906">
        <v>6.73</v>
      </c>
      <c r="I906">
        <v>1881</v>
      </c>
      <c r="J906">
        <v>44</v>
      </c>
      <c r="K906">
        <v>31</v>
      </c>
    </row>
    <row r="907" spans="1:11" x14ac:dyDescent="0.3">
      <c r="A907" t="s">
        <v>1827</v>
      </c>
      <c r="B907" t="s">
        <v>1828</v>
      </c>
      <c r="C907">
        <v>112</v>
      </c>
      <c r="D907" t="s">
        <v>28</v>
      </c>
      <c r="E907" s="1">
        <v>45072</v>
      </c>
      <c r="F907">
        <v>5.7</v>
      </c>
      <c r="G907">
        <v>17000</v>
      </c>
      <c r="H907">
        <v>5.8010000000000002</v>
      </c>
      <c r="I907">
        <v>204</v>
      </c>
      <c r="J907">
        <v>37</v>
      </c>
      <c r="K907">
        <v>31</v>
      </c>
    </row>
    <row r="908" spans="1:11" x14ac:dyDescent="0.3">
      <c r="A908" t="s">
        <v>1829</v>
      </c>
      <c r="B908" t="s">
        <v>1830</v>
      </c>
      <c r="C908">
        <v>96</v>
      </c>
      <c r="D908" t="s">
        <v>15</v>
      </c>
      <c r="E908" s="1">
        <v>45023</v>
      </c>
      <c r="F908">
        <v>5</v>
      </c>
      <c r="G908">
        <v>5900</v>
      </c>
      <c r="H908">
        <v>5.4</v>
      </c>
      <c r="I908">
        <v>145</v>
      </c>
      <c r="J908">
        <v>45</v>
      </c>
      <c r="K908">
        <v>31</v>
      </c>
    </row>
    <row r="909" spans="1:11" x14ac:dyDescent="0.3">
      <c r="A909" t="s">
        <v>1831</v>
      </c>
      <c r="B909" t="s">
        <v>1832</v>
      </c>
      <c r="C909">
        <v>109</v>
      </c>
      <c r="D909" t="s">
        <v>15</v>
      </c>
      <c r="E909" s="1">
        <v>44967</v>
      </c>
      <c r="F909">
        <v>5.7</v>
      </c>
      <c r="G909">
        <v>42000</v>
      </c>
      <c r="H909">
        <v>6.266</v>
      </c>
      <c r="I909">
        <v>851</v>
      </c>
      <c r="J909">
        <v>49</v>
      </c>
      <c r="K909">
        <v>31</v>
      </c>
    </row>
    <row r="910" spans="1:11" x14ac:dyDescent="0.3">
      <c r="A910" t="s">
        <v>1833</v>
      </c>
      <c r="B910" t="s">
        <v>1834</v>
      </c>
      <c r="C910">
        <v>95</v>
      </c>
      <c r="D910" t="s">
        <v>15</v>
      </c>
      <c r="E910" s="1">
        <v>44953</v>
      </c>
      <c r="F910">
        <v>5</v>
      </c>
      <c r="G910">
        <v>11000</v>
      </c>
      <c r="H910">
        <v>5.4089999999999998</v>
      </c>
      <c r="I910">
        <v>274</v>
      </c>
      <c r="J910">
        <v>42</v>
      </c>
      <c r="K910">
        <v>31</v>
      </c>
    </row>
    <row r="911" spans="1:11" x14ac:dyDescent="0.3">
      <c r="A911" t="s">
        <v>1835</v>
      </c>
      <c r="B911" t="s">
        <v>1836</v>
      </c>
      <c r="C911">
        <v>134</v>
      </c>
      <c r="D911" t="s">
        <v>28</v>
      </c>
      <c r="E911" s="1">
        <v>44841</v>
      </c>
      <c r="F911">
        <v>6.1</v>
      </c>
      <c r="G911">
        <v>100000</v>
      </c>
      <c r="H911">
        <v>6.0679999999999996</v>
      </c>
      <c r="I911">
        <v>1804</v>
      </c>
      <c r="J911">
        <v>49</v>
      </c>
      <c r="K911">
        <v>31</v>
      </c>
    </row>
    <row r="912" spans="1:11" x14ac:dyDescent="0.3">
      <c r="A912" t="s">
        <v>1837</v>
      </c>
      <c r="B912" t="s">
        <v>1838</v>
      </c>
      <c r="C912">
        <v>81</v>
      </c>
      <c r="D912" t="s">
        <v>28</v>
      </c>
      <c r="E912" s="1">
        <v>44610</v>
      </c>
      <c r="F912">
        <v>4.7</v>
      </c>
      <c r="G912">
        <v>66000</v>
      </c>
      <c r="H912">
        <v>5.1950000000000003</v>
      </c>
      <c r="I912">
        <v>1622</v>
      </c>
      <c r="J912">
        <v>34</v>
      </c>
      <c r="K912">
        <v>31</v>
      </c>
    </row>
    <row r="913" spans="1:11" x14ac:dyDescent="0.3">
      <c r="A913" t="s">
        <v>1839</v>
      </c>
      <c r="B913" t="s">
        <v>1840</v>
      </c>
      <c r="C913">
        <v>114</v>
      </c>
      <c r="D913" t="s">
        <v>15</v>
      </c>
      <c r="E913" s="1">
        <v>45674</v>
      </c>
      <c r="F913">
        <v>5.9</v>
      </c>
      <c r="G913">
        <v>52000</v>
      </c>
      <c r="H913">
        <v>6.4379999999999997</v>
      </c>
      <c r="I913">
        <v>1477</v>
      </c>
      <c r="J913">
        <v>46</v>
      </c>
      <c r="K913">
        <v>30</v>
      </c>
    </row>
    <row r="914" spans="1:11" x14ac:dyDescent="0.3">
      <c r="A914" t="s">
        <v>1841</v>
      </c>
      <c r="B914" t="s">
        <v>1842</v>
      </c>
      <c r="C914">
        <v>123</v>
      </c>
      <c r="D914" t="s">
        <v>15</v>
      </c>
      <c r="E914" s="1">
        <v>45611</v>
      </c>
      <c r="F914">
        <v>6.3</v>
      </c>
      <c r="G914">
        <v>138000</v>
      </c>
      <c r="H914">
        <v>6.9909999999999997</v>
      </c>
      <c r="I914">
        <v>3002</v>
      </c>
      <c r="J914">
        <v>34</v>
      </c>
      <c r="K914">
        <v>30</v>
      </c>
    </row>
    <row r="915" spans="1:11" x14ac:dyDescent="0.3">
      <c r="A915" t="s">
        <v>1843</v>
      </c>
      <c r="B915" t="s">
        <v>1844</v>
      </c>
      <c r="C915">
        <v>91</v>
      </c>
      <c r="D915" t="s">
        <v>28</v>
      </c>
      <c r="E915" s="1">
        <v>45163</v>
      </c>
      <c r="F915">
        <v>5.3</v>
      </c>
      <c r="G915">
        <v>25000</v>
      </c>
      <c r="H915">
        <v>6.5389999999999997</v>
      </c>
      <c r="I915">
        <v>1342</v>
      </c>
      <c r="J915">
        <v>43</v>
      </c>
      <c r="K915">
        <v>30</v>
      </c>
    </row>
    <row r="916" spans="1:11" x14ac:dyDescent="0.3">
      <c r="A916" t="s">
        <v>1845</v>
      </c>
      <c r="B916" t="s">
        <v>1846</v>
      </c>
      <c r="C916">
        <v>104</v>
      </c>
      <c r="D916" t="s">
        <v>15</v>
      </c>
      <c r="E916" s="1">
        <v>45051</v>
      </c>
      <c r="F916">
        <v>5.9</v>
      </c>
      <c r="G916">
        <v>17000</v>
      </c>
      <c r="H916">
        <v>6.7409999999999997</v>
      </c>
      <c r="I916">
        <v>469</v>
      </c>
      <c r="J916">
        <v>32</v>
      </c>
      <c r="K916">
        <v>30</v>
      </c>
    </row>
    <row r="917" spans="1:11" x14ac:dyDescent="0.3">
      <c r="A917" t="s">
        <v>1847</v>
      </c>
      <c r="B917" t="s">
        <v>1848</v>
      </c>
      <c r="C917">
        <v>108</v>
      </c>
      <c r="D917" t="s">
        <v>12</v>
      </c>
      <c r="E917" s="1">
        <v>44757</v>
      </c>
      <c r="F917">
        <v>5.8</v>
      </c>
      <c r="G917">
        <v>38000</v>
      </c>
      <c r="H917">
        <v>6.077</v>
      </c>
      <c r="I917">
        <v>650</v>
      </c>
      <c r="J917">
        <v>42</v>
      </c>
      <c r="K917">
        <v>30</v>
      </c>
    </row>
    <row r="918" spans="1:11" x14ac:dyDescent="0.3">
      <c r="A918" t="s">
        <v>1849</v>
      </c>
      <c r="B918" t="s">
        <v>1850</v>
      </c>
      <c r="C918">
        <v>91</v>
      </c>
      <c r="D918" t="s">
        <v>28</v>
      </c>
      <c r="E918" s="1">
        <v>45681</v>
      </c>
      <c r="F918">
        <v>5.3</v>
      </c>
      <c r="G918">
        <v>22000</v>
      </c>
      <c r="H918">
        <v>5.9459999999999997</v>
      </c>
      <c r="I918">
        <v>1130</v>
      </c>
      <c r="J918">
        <v>38</v>
      </c>
      <c r="K918">
        <v>29</v>
      </c>
    </row>
    <row r="919" spans="1:11" x14ac:dyDescent="0.3">
      <c r="A919" t="s">
        <v>1851</v>
      </c>
      <c r="B919" t="s">
        <v>1852</v>
      </c>
      <c r="C919">
        <v>118</v>
      </c>
      <c r="D919" t="s">
        <v>15</v>
      </c>
      <c r="E919" s="1">
        <v>45275</v>
      </c>
      <c r="F919">
        <v>6.3</v>
      </c>
      <c r="G919">
        <v>52000</v>
      </c>
      <c r="H919">
        <v>7.2249999999999996</v>
      </c>
      <c r="I919">
        <v>1847</v>
      </c>
      <c r="J919">
        <v>39</v>
      </c>
      <c r="K919">
        <v>29</v>
      </c>
    </row>
    <row r="920" spans="1:11" x14ac:dyDescent="0.3">
      <c r="A920" t="s">
        <v>1853</v>
      </c>
      <c r="B920" t="s">
        <v>1854</v>
      </c>
      <c r="C920">
        <v>110</v>
      </c>
      <c r="D920" t="s">
        <v>15</v>
      </c>
      <c r="E920" s="1">
        <v>45047</v>
      </c>
      <c r="F920">
        <v>6.3</v>
      </c>
      <c r="G920">
        <v>2400</v>
      </c>
      <c r="H920">
        <v>6.6630000000000003</v>
      </c>
      <c r="I920">
        <v>83</v>
      </c>
      <c r="J920">
        <v>37</v>
      </c>
      <c r="K920">
        <v>29</v>
      </c>
    </row>
    <row r="921" spans="1:11" x14ac:dyDescent="0.3">
      <c r="A921" t="s">
        <v>1855</v>
      </c>
      <c r="B921" t="s">
        <v>1856</v>
      </c>
      <c r="C921">
        <v>123</v>
      </c>
      <c r="D921" t="s">
        <v>15</v>
      </c>
      <c r="E921" s="1">
        <v>44946</v>
      </c>
      <c r="F921">
        <v>6.5</v>
      </c>
      <c r="G921">
        <v>18000</v>
      </c>
      <c r="H921">
        <v>6.742</v>
      </c>
      <c r="I921">
        <v>559</v>
      </c>
      <c r="J921">
        <v>45</v>
      </c>
      <c r="K921">
        <v>29</v>
      </c>
    </row>
    <row r="922" spans="1:11" x14ac:dyDescent="0.3">
      <c r="A922" t="s">
        <v>1857</v>
      </c>
      <c r="B922" t="s">
        <v>1858</v>
      </c>
      <c r="C922">
        <v>100</v>
      </c>
      <c r="D922" t="s">
        <v>28</v>
      </c>
      <c r="E922" s="1">
        <v>44939</v>
      </c>
      <c r="F922">
        <v>4.4000000000000004</v>
      </c>
      <c r="G922">
        <v>4700</v>
      </c>
      <c r="H922">
        <v>5.6</v>
      </c>
      <c r="I922">
        <v>118</v>
      </c>
      <c r="J922">
        <v>41</v>
      </c>
      <c r="K922">
        <v>29</v>
      </c>
    </row>
    <row r="923" spans="1:11" x14ac:dyDescent="0.3">
      <c r="A923" t="s">
        <v>1859</v>
      </c>
      <c r="B923" t="s">
        <v>1860</v>
      </c>
      <c r="C923">
        <v>100</v>
      </c>
      <c r="D923" t="s">
        <v>28</v>
      </c>
      <c r="E923" s="1">
        <v>44834</v>
      </c>
      <c r="F923">
        <v>5.6</v>
      </c>
      <c r="G923">
        <v>3500</v>
      </c>
      <c r="H923">
        <v>5.6</v>
      </c>
      <c r="I923">
        <v>80</v>
      </c>
      <c r="J923">
        <v>47</v>
      </c>
      <c r="K923">
        <v>29</v>
      </c>
    </row>
    <row r="924" spans="1:11" x14ac:dyDescent="0.3">
      <c r="A924" t="s">
        <v>1861</v>
      </c>
      <c r="B924" t="s">
        <v>1862</v>
      </c>
      <c r="C924">
        <v>147</v>
      </c>
      <c r="D924" t="s">
        <v>15</v>
      </c>
      <c r="E924" s="1">
        <v>44722</v>
      </c>
      <c r="F924">
        <v>5.6</v>
      </c>
      <c r="G924">
        <v>221000</v>
      </c>
      <c r="H924">
        <v>6.6040000000000001</v>
      </c>
      <c r="I924">
        <v>6975</v>
      </c>
      <c r="J924">
        <v>38</v>
      </c>
      <c r="K924">
        <v>29</v>
      </c>
    </row>
    <row r="925" spans="1:11" x14ac:dyDescent="0.3">
      <c r="A925" t="s">
        <v>1863</v>
      </c>
      <c r="B925" t="s">
        <v>792</v>
      </c>
      <c r="C925">
        <v>114</v>
      </c>
      <c r="D925" t="s">
        <v>28</v>
      </c>
      <c r="E925" s="1">
        <v>44680</v>
      </c>
      <c r="F925">
        <v>5.7</v>
      </c>
      <c r="G925">
        <v>39000</v>
      </c>
      <c r="H925">
        <v>6.7329999999999997</v>
      </c>
      <c r="I925">
        <v>1647</v>
      </c>
      <c r="J925">
        <v>41</v>
      </c>
      <c r="K925">
        <v>29</v>
      </c>
    </row>
    <row r="926" spans="1:11" x14ac:dyDescent="0.3">
      <c r="A926" t="s">
        <v>1864</v>
      </c>
      <c r="B926" t="s">
        <v>1865</v>
      </c>
      <c r="C926">
        <v>97</v>
      </c>
      <c r="D926" t="s">
        <v>28</v>
      </c>
      <c r="E926" s="1">
        <v>45693</v>
      </c>
      <c r="F926">
        <v>4.9000000000000004</v>
      </c>
      <c r="G926">
        <v>14000</v>
      </c>
      <c r="H926">
        <v>5.6</v>
      </c>
      <c r="I926">
        <v>308</v>
      </c>
      <c r="J926">
        <v>38</v>
      </c>
      <c r="K926">
        <v>28</v>
      </c>
    </row>
    <row r="927" spans="1:11" x14ac:dyDescent="0.3">
      <c r="A927" t="s">
        <v>1866</v>
      </c>
      <c r="B927" t="s">
        <v>1867</v>
      </c>
      <c r="C927">
        <v>112</v>
      </c>
      <c r="D927" t="s">
        <v>90</v>
      </c>
      <c r="E927" s="1">
        <v>45632</v>
      </c>
      <c r="F927">
        <v>5.2</v>
      </c>
      <c r="G927">
        <v>8000</v>
      </c>
      <c r="H927">
        <v>6.2220000000000004</v>
      </c>
      <c r="I927">
        <v>196</v>
      </c>
      <c r="J927">
        <v>27</v>
      </c>
      <c r="K927">
        <v>28</v>
      </c>
    </row>
    <row r="928" spans="1:11" x14ac:dyDescent="0.3">
      <c r="A928" t="s">
        <v>1868</v>
      </c>
      <c r="B928" t="s">
        <v>1869</v>
      </c>
      <c r="C928">
        <v>98</v>
      </c>
      <c r="D928" t="s">
        <v>28</v>
      </c>
      <c r="E928" s="1">
        <v>45499</v>
      </c>
      <c r="F928">
        <v>4.8</v>
      </c>
      <c r="G928">
        <v>1500</v>
      </c>
      <c r="H928">
        <v>5.9</v>
      </c>
      <c r="I928">
        <v>24</v>
      </c>
      <c r="J928">
        <v>44</v>
      </c>
      <c r="K928">
        <v>28</v>
      </c>
    </row>
    <row r="929" spans="1:11" x14ac:dyDescent="0.3">
      <c r="A929" t="s">
        <v>1870</v>
      </c>
      <c r="B929" t="s">
        <v>1871</v>
      </c>
      <c r="C929">
        <v>126</v>
      </c>
      <c r="D929" t="s">
        <v>28</v>
      </c>
      <c r="E929" s="1">
        <v>45275</v>
      </c>
      <c r="F929">
        <v>6.1</v>
      </c>
      <c r="G929">
        <v>11000</v>
      </c>
      <c r="H929">
        <v>6.8879999999999999</v>
      </c>
      <c r="I929">
        <v>330</v>
      </c>
      <c r="J929">
        <v>44</v>
      </c>
      <c r="K929">
        <v>28</v>
      </c>
    </row>
    <row r="930" spans="1:11" x14ac:dyDescent="0.3">
      <c r="A930" t="s">
        <v>1872</v>
      </c>
      <c r="B930" t="s">
        <v>1873</v>
      </c>
      <c r="C930">
        <v>104</v>
      </c>
      <c r="D930" t="s">
        <v>28</v>
      </c>
      <c r="E930" s="1">
        <v>45637</v>
      </c>
      <c r="F930">
        <v>4.3</v>
      </c>
      <c r="G930">
        <v>3200</v>
      </c>
      <c r="H930">
        <v>6.1</v>
      </c>
      <c r="I930">
        <v>371</v>
      </c>
      <c r="J930">
        <v>42</v>
      </c>
      <c r="K930">
        <v>27</v>
      </c>
    </row>
    <row r="931" spans="1:11" x14ac:dyDescent="0.3">
      <c r="A931" t="s">
        <v>1874</v>
      </c>
      <c r="B931" t="s">
        <v>1875</v>
      </c>
      <c r="C931">
        <v>90</v>
      </c>
      <c r="D931" t="s">
        <v>12</v>
      </c>
      <c r="E931" s="1">
        <v>45506</v>
      </c>
      <c r="F931">
        <v>5.7</v>
      </c>
      <c r="G931">
        <v>8000</v>
      </c>
      <c r="H931">
        <v>6.64</v>
      </c>
      <c r="I931">
        <v>354</v>
      </c>
      <c r="J931">
        <v>34</v>
      </c>
      <c r="K931">
        <v>27</v>
      </c>
    </row>
    <row r="932" spans="1:11" x14ac:dyDescent="0.3">
      <c r="A932" t="s">
        <v>1876</v>
      </c>
      <c r="B932" t="s">
        <v>1877</v>
      </c>
      <c r="C932">
        <v>104</v>
      </c>
      <c r="D932" t="s">
        <v>28</v>
      </c>
      <c r="E932" s="1">
        <v>45219</v>
      </c>
      <c r="F932">
        <v>6.2</v>
      </c>
      <c r="G932">
        <v>45000</v>
      </c>
      <c r="H932">
        <v>6.2089999999999996</v>
      </c>
      <c r="I932">
        <v>443</v>
      </c>
      <c r="J932">
        <v>42</v>
      </c>
      <c r="K932">
        <v>27</v>
      </c>
    </row>
    <row r="933" spans="1:11" x14ac:dyDescent="0.3">
      <c r="A933" t="s">
        <v>1878</v>
      </c>
      <c r="B933" t="s">
        <v>1879</v>
      </c>
      <c r="C933">
        <v>116</v>
      </c>
      <c r="D933" t="s">
        <v>15</v>
      </c>
      <c r="E933" s="1">
        <v>45142</v>
      </c>
      <c r="F933">
        <v>5</v>
      </c>
      <c r="G933">
        <v>91000</v>
      </c>
      <c r="H933">
        <v>6.3780000000000001</v>
      </c>
      <c r="I933">
        <v>3917</v>
      </c>
      <c r="J933">
        <v>40</v>
      </c>
      <c r="K933">
        <v>27</v>
      </c>
    </row>
    <row r="934" spans="1:11" x14ac:dyDescent="0.3">
      <c r="A934" t="s">
        <v>1880</v>
      </c>
      <c r="B934" t="s">
        <v>1881</v>
      </c>
      <c r="C934">
        <v>111</v>
      </c>
      <c r="D934" t="s">
        <v>28</v>
      </c>
      <c r="E934" s="1">
        <v>44939</v>
      </c>
      <c r="F934">
        <v>4.5999999999999996</v>
      </c>
      <c r="G934">
        <v>4400</v>
      </c>
      <c r="H934">
        <v>6.5</v>
      </c>
      <c r="I934">
        <v>456</v>
      </c>
      <c r="J934">
        <v>37</v>
      </c>
      <c r="K934">
        <v>27</v>
      </c>
    </row>
    <row r="935" spans="1:11" x14ac:dyDescent="0.3">
      <c r="A935" t="s">
        <v>1882</v>
      </c>
      <c r="B935" t="s">
        <v>1883</v>
      </c>
      <c r="C935">
        <v>92</v>
      </c>
      <c r="D935" t="s">
        <v>28</v>
      </c>
      <c r="E935" s="1">
        <v>44936</v>
      </c>
      <c r="F935">
        <v>5.0999999999999996</v>
      </c>
      <c r="G935">
        <v>6600</v>
      </c>
      <c r="H935">
        <v>5.2439999999999998</v>
      </c>
      <c r="I935">
        <v>135</v>
      </c>
      <c r="J935">
        <v>42</v>
      </c>
      <c r="K935">
        <v>27</v>
      </c>
    </row>
    <row r="936" spans="1:11" x14ac:dyDescent="0.3">
      <c r="A936" t="s">
        <v>1884</v>
      </c>
      <c r="B936" t="s">
        <v>1885</v>
      </c>
      <c r="C936">
        <v>117</v>
      </c>
      <c r="D936" t="s">
        <v>12</v>
      </c>
      <c r="E936" s="1">
        <v>44904</v>
      </c>
      <c r="F936">
        <v>7.6</v>
      </c>
      <c r="G936">
        <v>120000</v>
      </c>
      <c r="H936">
        <v>8.0210000000000008</v>
      </c>
      <c r="I936">
        <v>3292</v>
      </c>
      <c r="J936">
        <v>79</v>
      </c>
      <c r="K936">
        <v>27</v>
      </c>
    </row>
    <row r="937" spans="1:11" x14ac:dyDescent="0.3">
      <c r="A937" t="s">
        <v>1886</v>
      </c>
      <c r="B937" t="s">
        <v>1887</v>
      </c>
      <c r="C937">
        <v>105</v>
      </c>
      <c r="D937" t="s">
        <v>12</v>
      </c>
      <c r="E937" s="1">
        <v>44812</v>
      </c>
      <c r="F937">
        <v>5.0999999999999996</v>
      </c>
      <c r="G937">
        <v>44000</v>
      </c>
      <c r="H937">
        <v>6.29</v>
      </c>
      <c r="I937">
        <v>1715</v>
      </c>
      <c r="J937">
        <v>38</v>
      </c>
      <c r="K937">
        <v>27</v>
      </c>
    </row>
    <row r="938" spans="1:11" x14ac:dyDescent="0.3">
      <c r="A938" t="s">
        <v>1888</v>
      </c>
      <c r="B938" t="s">
        <v>1889</v>
      </c>
      <c r="C938">
        <v>84</v>
      </c>
      <c r="D938" t="s">
        <v>15</v>
      </c>
      <c r="E938" s="1">
        <v>44617</v>
      </c>
      <c r="F938">
        <v>4.9000000000000004</v>
      </c>
      <c r="G938">
        <v>8300</v>
      </c>
      <c r="H938">
        <v>6</v>
      </c>
      <c r="I938">
        <v>472</v>
      </c>
      <c r="J938">
        <v>35</v>
      </c>
      <c r="K938">
        <v>27</v>
      </c>
    </row>
    <row r="939" spans="1:11" x14ac:dyDescent="0.3">
      <c r="A939" t="s">
        <v>1890</v>
      </c>
      <c r="B939" t="s">
        <v>1891</v>
      </c>
      <c r="C939">
        <v>94</v>
      </c>
      <c r="D939" t="s">
        <v>28</v>
      </c>
      <c r="E939" s="1">
        <v>45709</v>
      </c>
      <c r="F939">
        <v>5.0999999999999996</v>
      </c>
      <c r="G939">
        <v>1900</v>
      </c>
      <c r="H939">
        <v>5.6</v>
      </c>
      <c r="I939">
        <v>213</v>
      </c>
      <c r="J939">
        <v>33</v>
      </c>
      <c r="K939">
        <v>26</v>
      </c>
    </row>
    <row r="940" spans="1:11" x14ac:dyDescent="0.3">
      <c r="A940" t="s">
        <v>1892</v>
      </c>
      <c r="B940" t="s">
        <v>1893</v>
      </c>
      <c r="C940">
        <v>91</v>
      </c>
      <c r="D940" t="s">
        <v>90</v>
      </c>
      <c r="E940" s="1">
        <v>45595</v>
      </c>
      <c r="F940">
        <v>5</v>
      </c>
      <c r="G940">
        <v>18000</v>
      </c>
      <c r="H940">
        <v>5.6660000000000004</v>
      </c>
      <c r="I940">
        <v>580</v>
      </c>
      <c r="J940">
        <v>36</v>
      </c>
      <c r="K940">
        <v>26</v>
      </c>
    </row>
    <row r="941" spans="1:11" x14ac:dyDescent="0.3">
      <c r="A941" t="s">
        <v>1894</v>
      </c>
      <c r="B941" t="s">
        <v>1895</v>
      </c>
      <c r="C941">
        <v>95</v>
      </c>
      <c r="D941" t="s">
        <v>28</v>
      </c>
      <c r="E941" s="1">
        <v>45464</v>
      </c>
      <c r="F941">
        <v>4.2</v>
      </c>
      <c r="G941">
        <v>11000</v>
      </c>
      <c r="H941">
        <v>5</v>
      </c>
      <c r="I941">
        <v>412</v>
      </c>
      <c r="J941">
        <v>46</v>
      </c>
      <c r="K941">
        <v>26</v>
      </c>
    </row>
    <row r="942" spans="1:11" x14ac:dyDescent="0.3">
      <c r="A942" t="s">
        <v>1896</v>
      </c>
      <c r="B942" t="s">
        <v>1897</v>
      </c>
      <c r="C942">
        <v>204</v>
      </c>
      <c r="D942" t="s">
        <v>18</v>
      </c>
      <c r="E942" s="1">
        <v>45261</v>
      </c>
      <c r="F942">
        <v>6.1</v>
      </c>
      <c r="G942">
        <v>105000</v>
      </c>
      <c r="H942">
        <v>6.1159999999999997</v>
      </c>
      <c r="I942">
        <v>186</v>
      </c>
      <c r="J942">
        <v>33</v>
      </c>
      <c r="K942">
        <v>26</v>
      </c>
    </row>
    <row r="943" spans="1:11" x14ac:dyDescent="0.3">
      <c r="A943" t="s">
        <v>1898</v>
      </c>
      <c r="B943" t="s">
        <v>1899</v>
      </c>
      <c r="C943">
        <v>101</v>
      </c>
      <c r="D943" t="s">
        <v>28</v>
      </c>
      <c r="E943" s="1">
        <v>45065</v>
      </c>
      <c r="F943">
        <v>5.2</v>
      </c>
      <c r="G943">
        <v>11000</v>
      </c>
      <c r="H943">
        <v>6.343</v>
      </c>
      <c r="I943">
        <v>290</v>
      </c>
      <c r="J943">
        <v>40</v>
      </c>
      <c r="K943">
        <v>26</v>
      </c>
    </row>
    <row r="944" spans="1:11" x14ac:dyDescent="0.3">
      <c r="A944" t="s">
        <v>1900</v>
      </c>
      <c r="B944" t="s">
        <v>1901</v>
      </c>
      <c r="C944">
        <v>93</v>
      </c>
      <c r="D944" t="s">
        <v>18</v>
      </c>
      <c r="E944" s="1">
        <v>44904</v>
      </c>
      <c r="F944">
        <v>4</v>
      </c>
      <c r="G944">
        <v>2300</v>
      </c>
      <c r="H944">
        <v>6.1459999999999999</v>
      </c>
      <c r="I944">
        <v>103</v>
      </c>
      <c r="J944">
        <v>29</v>
      </c>
      <c r="K944">
        <v>26</v>
      </c>
    </row>
    <row r="945" spans="1:11" x14ac:dyDescent="0.3">
      <c r="A945" t="s">
        <v>1902</v>
      </c>
      <c r="B945" t="s">
        <v>1903</v>
      </c>
      <c r="C945">
        <v>84</v>
      </c>
      <c r="D945" t="s">
        <v>15</v>
      </c>
      <c r="E945" s="1">
        <v>45534</v>
      </c>
      <c r="F945">
        <v>5.2</v>
      </c>
      <c r="G945">
        <v>13000</v>
      </c>
      <c r="H945">
        <v>5.923</v>
      </c>
      <c r="I945">
        <v>493</v>
      </c>
      <c r="J945">
        <v>28</v>
      </c>
      <c r="K945">
        <v>25</v>
      </c>
    </row>
    <row r="946" spans="1:11" x14ac:dyDescent="0.3">
      <c r="A946" t="s">
        <v>1904</v>
      </c>
      <c r="B946" t="s">
        <v>1905</v>
      </c>
      <c r="C946">
        <v>104</v>
      </c>
      <c r="D946" t="s">
        <v>15</v>
      </c>
      <c r="E946" s="1">
        <v>45366</v>
      </c>
      <c r="F946">
        <v>3.7</v>
      </c>
      <c r="G946">
        <v>12000</v>
      </c>
      <c r="H946">
        <v>4.8</v>
      </c>
      <c r="I946">
        <v>141</v>
      </c>
      <c r="J946">
        <v>50</v>
      </c>
      <c r="K946">
        <v>25</v>
      </c>
    </row>
    <row r="947" spans="1:11" x14ac:dyDescent="0.3">
      <c r="A947" t="s">
        <v>1906</v>
      </c>
      <c r="B947" t="s">
        <v>1907</v>
      </c>
      <c r="C947">
        <v>104</v>
      </c>
      <c r="D947" t="s">
        <v>15</v>
      </c>
      <c r="E947" s="1">
        <v>45359</v>
      </c>
      <c r="F947">
        <v>4.7</v>
      </c>
      <c r="G947">
        <v>17000</v>
      </c>
      <c r="H947">
        <v>5.9</v>
      </c>
      <c r="I947">
        <v>679</v>
      </c>
      <c r="J947">
        <v>34</v>
      </c>
      <c r="K947">
        <v>25</v>
      </c>
    </row>
    <row r="948" spans="1:11" x14ac:dyDescent="0.3">
      <c r="A948" t="s">
        <v>1908</v>
      </c>
      <c r="B948" t="s">
        <v>1909</v>
      </c>
      <c r="C948">
        <v>117</v>
      </c>
      <c r="D948" t="s">
        <v>28</v>
      </c>
      <c r="E948" s="1">
        <v>45156</v>
      </c>
      <c r="F948">
        <v>4.2</v>
      </c>
      <c r="G948">
        <v>773</v>
      </c>
      <c r="H948">
        <v>5.6</v>
      </c>
      <c r="I948">
        <v>34</v>
      </c>
      <c r="J948">
        <v>48</v>
      </c>
      <c r="K948">
        <v>25</v>
      </c>
    </row>
    <row r="949" spans="1:11" x14ac:dyDescent="0.3">
      <c r="A949" t="s">
        <v>1910</v>
      </c>
      <c r="B949" t="s">
        <v>1911</v>
      </c>
      <c r="C949">
        <v>109</v>
      </c>
      <c r="D949" t="s">
        <v>28</v>
      </c>
      <c r="E949" s="1">
        <v>44972</v>
      </c>
      <c r="F949">
        <v>5.4</v>
      </c>
      <c r="G949">
        <v>13000</v>
      </c>
      <c r="H949">
        <v>5.7060000000000004</v>
      </c>
      <c r="I949">
        <v>430</v>
      </c>
      <c r="J949">
        <v>41</v>
      </c>
      <c r="K949">
        <v>25</v>
      </c>
    </row>
    <row r="950" spans="1:11" x14ac:dyDescent="0.3">
      <c r="A950" t="s">
        <v>1912</v>
      </c>
      <c r="B950" t="s">
        <v>1913</v>
      </c>
      <c r="C950">
        <v>101</v>
      </c>
      <c r="D950" t="s">
        <v>28</v>
      </c>
      <c r="E950" s="1">
        <v>45723</v>
      </c>
      <c r="F950">
        <v>5</v>
      </c>
      <c r="G950">
        <v>1500</v>
      </c>
      <c r="H950">
        <v>6.3470000000000004</v>
      </c>
      <c r="I950">
        <v>778</v>
      </c>
      <c r="J950">
        <v>41</v>
      </c>
      <c r="K950">
        <v>24</v>
      </c>
    </row>
    <row r="951" spans="1:11" x14ac:dyDescent="0.3">
      <c r="A951" t="s">
        <v>1914</v>
      </c>
      <c r="B951" t="s">
        <v>1915</v>
      </c>
      <c r="C951">
        <v>107</v>
      </c>
      <c r="D951" t="s">
        <v>15</v>
      </c>
      <c r="E951" s="1">
        <v>45621</v>
      </c>
      <c r="F951">
        <v>5.4</v>
      </c>
      <c r="G951">
        <v>18000</v>
      </c>
      <c r="H951">
        <v>6.2309999999999999</v>
      </c>
      <c r="I951">
        <v>484</v>
      </c>
      <c r="J951">
        <v>34</v>
      </c>
      <c r="K951">
        <v>24</v>
      </c>
    </row>
    <row r="952" spans="1:11" x14ac:dyDescent="0.3">
      <c r="A952" t="s">
        <v>1916</v>
      </c>
      <c r="B952" t="s">
        <v>1917</v>
      </c>
      <c r="C952">
        <v>91</v>
      </c>
      <c r="D952" t="s">
        <v>28</v>
      </c>
      <c r="E952" s="1">
        <v>45527</v>
      </c>
      <c r="F952">
        <v>5.8</v>
      </c>
      <c r="G952">
        <v>14000</v>
      </c>
      <c r="H952">
        <v>6.2</v>
      </c>
      <c r="I952">
        <v>347</v>
      </c>
      <c r="J952">
        <v>38</v>
      </c>
      <c r="K952">
        <v>24</v>
      </c>
    </row>
    <row r="953" spans="1:11" x14ac:dyDescent="0.3">
      <c r="A953" t="s">
        <v>1918</v>
      </c>
      <c r="B953" t="s">
        <v>1919</v>
      </c>
      <c r="C953">
        <v>94</v>
      </c>
      <c r="D953" t="s">
        <v>28</v>
      </c>
      <c r="E953" s="1">
        <v>45471</v>
      </c>
      <c r="F953">
        <v>5.0999999999999996</v>
      </c>
      <c r="G953">
        <v>5100</v>
      </c>
      <c r="H953">
        <v>5.7</v>
      </c>
      <c r="I953">
        <v>127</v>
      </c>
      <c r="J953">
        <v>44</v>
      </c>
      <c r="K953">
        <v>24</v>
      </c>
    </row>
    <row r="954" spans="1:11" x14ac:dyDescent="0.3">
      <c r="A954" t="s">
        <v>1920</v>
      </c>
      <c r="B954" t="s">
        <v>1921</v>
      </c>
      <c r="C954">
        <v>100</v>
      </c>
      <c r="D954" t="s">
        <v>28</v>
      </c>
      <c r="E954" s="1">
        <v>45421</v>
      </c>
      <c r="F954">
        <v>4</v>
      </c>
      <c r="G954">
        <v>2600</v>
      </c>
      <c r="H954">
        <v>4.4000000000000004</v>
      </c>
      <c r="I954">
        <v>62</v>
      </c>
      <c r="J954">
        <v>29</v>
      </c>
      <c r="K954">
        <v>24</v>
      </c>
    </row>
    <row r="955" spans="1:11" x14ac:dyDescent="0.3">
      <c r="A955" t="s">
        <v>1922</v>
      </c>
      <c r="B955" t="s">
        <v>1923</v>
      </c>
      <c r="C955">
        <v>110</v>
      </c>
      <c r="D955" t="s">
        <v>28</v>
      </c>
      <c r="E955" s="1">
        <v>45237</v>
      </c>
      <c r="F955">
        <v>5.4</v>
      </c>
      <c r="G955">
        <v>12000</v>
      </c>
      <c r="H955">
        <v>5.7759999999999998</v>
      </c>
      <c r="I955">
        <v>292</v>
      </c>
      <c r="J955">
        <v>44</v>
      </c>
      <c r="K955">
        <v>24</v>
      </c>
    </row>
    <row r="956" spans="1:11" x14ac:dyDescent="0.3">
      <c r="A956" t="s">
        <v>1924</v>
      </c>
      <c r="B956" t="s">
        <v>1925</v>
      </c>
      <c r="C956">
        <v>156</v>
      </c>
      <c r="D956" t="s">
        <v>18</v>
      </c>
      <c r="E956" s="1">
        <v>45100</v>
      </c>
      <c r="F956">
        <v>5.7</v>
      </c>
      <c r="G956">
        <v>8200</v>
      </c>
      <c r="H956">
        <v>6</v>
      </c>
      <c r="I956">
        <v>245</v>
      </c>
      <c r="J956">
        <v>31</v>
      </c>
      <c r="K956">
        <v>24</v>
      </c>
    </row>
    <row r="957" spans="1:11" x14ac:dyDescent="0.3">
      <c r="A957" t="s">
        <v>1926</v>
      </c>
      <c r="B957" t="s">
        <v>1927</v>
      </c>
      <c r="C957">
        <v>92</v>
      </c>
      <c r="D957" t="s">
        <v>28</v>
      </c>
      <c r="E957" s="1">
        <v>44868</v>
      </c>
      <c r="F957">
        <v>5.9</v>
      </c>
      <c r="G957">
        <v>3000</v>
      </c>
      <c r="H957">
        <v>4.9000000000000004</v>
      </c>
      <c r="I957">
        <v>67</v>
      </c>
      <c r="J957">
        <v>41</v>
      </c>
      <c r="K957">
        <v>24</v>
      </c>
    </row>
    <row r="958" spans="1:11" x14ac:dyDescent="0.3">
      <c r="A958" t="s">
        <v>1928</v>
      </c>
      <c r="B958" t="s">
        <v>1929</v>
      </c>
      <c r="C958">
        <v>110</v>
      </c>
      <c r="D958" t="s">
        <v>15</v>
      </c>
      <c r="E958" s="1">
        <v>44736</v>
      </c>
      <c r="F958">
        <v>5.8</v>
      </c>
      <c r="G958">
        <v>63000</v>
      </c>
      <c r="H958">
        <v>6.3819999999999997</v>
      </c>
      <c r="I958">
        <v>500</v>
      </c>
      <c r="J958">
        <v>34</v>
      </c>
      <c r="K958">
        <v>24</v>
      </c>
    </row>
    <row r="959" spans="1:11" x14ac:dyDescent="0.3">
      <c r="A959" t="s">
        <v>1930</v>
      </c>
      <c r="B959" t="s">
        <v>1931</v>
      </c>
      <c r="C959">
        <v>95</v>
      </c>
      <c r="D959" t="s">
        <v>15</v>
      </c>
      <c r="E959" s="1">
        <v>45681</v>
      </c>
      <c r="F959">
        <v>3.8</v>
      </c>
      <c r="G959">
        <v>14000</v>
      </c>
      <c r="H959">
        <v>4.7190000000000003</v>
      </c>
      <c r="I959">
        <v>350</v>
      </c>
      <c r="J959">
        <v>37</v>
      </c>
      <c r="K959">
        <v>23</v>
      </c>
    </row>
    <row r="960" spans="1:11" x14ac:dyDescent="0.3">
      <c r="A960" t="s">
        <v>1932</v>
      </c>
      <c r="B960" t="s">
        <v>1933</v>
      </c>
      <c r="C960">
        <v>123</v>
      </c>
      <c r="D960" t="s">
        <v>28</v>
      </c>
      <c r="E960" s="1">
        <v>45226</v>
      </c>
      <c r="F960">
        <v>6.6</v>
      </c>
      <c r="G960">
        <v>52000</v>
      </c>
      <c r="H960">
        <v>6.6539999999999999</v>
      </c>
      <c r="I960">
        <v>760</v>
      </c>
      <c r="J960">
        <v>44</v>
      </c>
      <c r="K960">
        <v>23</v>
      </c>
    </row>
    <row r="961" spans="1:11" x14ac:dyDescent="0.3">
      <c r="A961" t="s">
        <v>1934</v>
      </c>
      <c r="B961" t="s">
        <v>1935</v>
      </c>
      <c r="C961">
        <v>96</v>
      </c>
      <c r="D961" t="s">
        <v>25</v>
      </c>
      <c r="E961" s="1">
        <v>44911</v>
      </c>
      <c r="F961">
        <v>5.4</v>
      </c>
      <c r="G961">
        <v>560</v>
      </c>
      <c r="H961">
        <v>4.9000000000000004</v>
      </c>
      <c r="I961">
        <v>13</v>
      </c>
      <c r="J961">
        <v>43</v>
      </c>
      <c r="K961">
        <v>23</v>
      </c>
    </row>
    <row r="962" spans="1:11" x14ac:dyDescent="0.3">
      <c r="A962" t="s">
        <v>1936</v>
      </c>
      <c r="B962" t="s">
        <v>1937</v>
      </c>
      <c r="C962">
        <v>111</v>
      </c>
      <c r="D962" t="s">
        <v>28</v>
      </c>
      <c r="E962" s="1">
        <v>44694</v>
      </c>
      <c r="F962">
        <v>5.5</v>
      </c>
      <c r="G962">
        <v>46000</v>
      </c>
      <c r="H962">
        <v>5.9180000000000001</v>
      </c>
      <c r="I962">
        <v>918</v>
      </c>
      <c r="J962">
        <v>47</v>
      </c>
      <c r="K962">
        <v>23</v>
      </c>
    </row>
    <row r="963" spans="1:11" x14ac:dyDescent="0.3">
      <c r="A963" t="s">
        <v>1938</v>
      </c>
      <c r="B963" t="s">
        <v>1939</v>
      </c>
      <c r="C963">
        <v>90</v>
      </c>
      <c r="D963" t="s">
        <v>28</v>
      </c>
      <c r="E963" s="1">
        <v>45317</v>
      </c>
      <c r="F963">
        <v>4.7</v>
      </c>
      <c r="G963">
        <v>2500</v>
      </c>
      <c r="H963">
        <v>4.9000000000000004</v>
      </c>
      <c r="I963">
        <v>75</v>
      </c>
      <c r="J963">
        <v>45</v>
      </c>
      <c r="K963">
        <v>22</v>
      </c>
    </row>
    <row r="964" spans="1:11" x14ac:dyDescent="0.3">
      <c r="A964" t="s">
        <v>1940</v>
      </c>
      <c r="B964" t="s">
        <v>1941</v>
      </c>
      <c r="C964">
        <v>133</v>
      </c>
      <c r="D964" t="s">
        <v>15</v>
      </c>
      <c r="E964" s="1">
        <v>45281</v>
      </c>
      <c r="F964">
        <v>5.6</v>
      </c>
      <c r="G964">
        <v>135000</v>
      </c>
      <c r="H964">
        <v>6.2169999999999996</v>
      </c>
      <c r="I964">
        <v>2513</v>
      </c>
      <c r="J964">
        <v>31</v>
      </c>
      <c r="K964">
        <v>22</v>
      </c>
    </row>
    <row r="965" spans="1:11" x14ac:dyDescent="0.3">
      <c r="A965" t="s">
        <v>1942</v>
      </c>
      <c r="B965" t="s">
        <v>1943</v>
      </c>
      <c r="C965">
        <v>111</v>
      </c>
      <c r="D965" t="s">
        <v>28</v>
      </c>
      <c r="E965" s="1">
        <v>45205</v>
      </c>
      <c r="F965">
        <v>4.8</v>
      </c>
      <c r="G965">
        <v>46000</v>
      </c>
      <c r="H965">
        <v>5.8109999999999999</v>
      </c>
      <c r="I965">
        <v>1248</v>
      </c>
      <c r="J965">
        <v>39</v>
      </c>
      <c r="K965">
        <v>22</v>
      </c>
    </row>
    <row r="966" spans="1:11" x14ac:dyDescent="0.3">
      <c r="A966" t="s">
        <v>1944</v>
      </c>
      <c r="B966" t="s">
        <v>1945</v>
      </c>
      <c r="C966">
        <v>95</v>
      </c>
      <c r="D966" t="s">
        <v>28</v>
      </c>
      <c r="E966" s="1">
        <v>45114</v>
      </c>
      <c r="F966">
        <v>5.4</v>
      </c>
      <c r="G966">
        <v>39000</v>
      </c>
      <c r="H966">
        <v>5.984</v>
      </c>
      <c r="I966">
        <v>793</v>
      </c>
      <c r="J966">
        <v>36</v>
      </c>
      <c r="K966">
        <v>22</v>
      </c>
    </row>
    <row r="967" spans="1:11" x14ac:dyDescent="0.3">
      <c r="A967" t="s">
        <v>1946</v>
      </c>
      <c r="B967" t="s">
        <v>1947</v>
      </c>
      <c r="C967">
        <v>91</v>
      </c>
      <c r="D967" t="s">
        <v>28</v>
      </c>
      <c r="E967" s="1">
        <v>45429</v>
      </c>
      <c r="F967">
        <v>4.5999999999999996</v>
      </c>
      <c r="G967">
        <v>22000</v>
      </c>
      <c r="H967">
        <v>5.6559999999999997</v>
      </c>
      <c r="I967">
        <v>730</v>
      </c>
      <c r="J967">
        <v>43</v>
      </c>
      <c r="K967">
        <v>21</v>
      </c>
    </row>
    <row r="968" spans="1:11" x14ac:dyDescent="0.3">
      <c r="A968" t="s">
        <v>1948</v>
      </c>
      <c r="B968" t="s">
        <v>1949</v>
      </c>
      <c r="C968">
        <v>112</v>
      </c>
      <c r="D968" t="s">
        <v>15</v>
      </c>
      <c r="E968" s="1">
        <v>45058</v>
      </c>
      <c r="F968">
        <v>4.4000000000000004</v>
      </c>
      <c r="G968">
        <v>16000</v>
      </c>
      <c r="H968">
        <v>6.3</v>
      </c>
      <c r="I968">
        <v>1276</v>
      </c>
      <c r="J968">
        <v>35</v>
      </c>
      <c r="K968">
        <v>21</v>
      </c>
    </row>
    <row r="969" spans="1:11" x14ac:dyDescent="0.3">
      <c r="A969" t="s">
        <v>1950</v>
      </c>
      <c r="B969" t="s">
        <v>1951</v>
      </c>
      <c r="C969">
        <v>101</v>
      </c>
      <c r="D969" t="s">
        <v>28</v>
      </c>
      <c r="E969" s="1">
        <v>45030</v>
      </c>
      <c r="F969">
        <v>5.4</v>
      </c>
      <c r="G969">
        <v>13000</v>
      </c>
      <c r="H969">
        <v>6.07</v>
      </c>
      <c r="I969">
        <v>306</v>
      </c>
      <c r="J969">
        <v>42</v>
      </c>
      <c r="K969">
        <v>21</v>
      </c>
    </row>
    <row r="970" spans="1:11" x14ac:dyDescent="0.3">
      <c r="A970" t="s">
        <v>1952</v>
      </c>
      <c r="B970" t="s">
        <v>1953</v>
      </c>
      <c r="C970">
        <v>106</v>
      </c>
      <c r="D970" t="s">
        <v>63</v>
      </c>
      <c r="E970" s="1">
        <v>45464</v>
      </c>
      <c r="F970">
        <v>4.5999999999999996</v>
      </c>
      <c r="G970">
        <v>19000</v>
      </c>
      <c r="H970">
        <v>5.6879999999999997</v>
      </c>
      <c r="I970">
        <v>569</v>
      </c>
      <c r="J970">
        <v>36</v>
      </c>
      <c r="K970">
        <v>20</v>
      </c>
    </row>
    <row r="971" spans="1:11" x14ac:dyDescent="0.3">
      <c r="A971" t="s">
        <v>1954</v>
      </c>
      <c r="B971" t="s">
        <v>1955</v>
      </c>
      <c r="C971">
        <v>92</v>
      </c>
      <c r="D971" t="s">
        <v>28</v>
      </c>
      <c r="E971" s="1">
        <v>45409</v>
      </c>
      <c r="F971">
        <v>4.8</v>
      </c>
      <c r="G971">
        <v>2900</v>
      </c>
      <c r="H971">
        <v>6.2</v>
      </c>
      <c r="I971">
        <v>239</v>
      </c>
      <c r="J971">
        <v>46</v>
      </c>
      <c r="K971">
        <v>20</v>
      </c>
    </row>
    <row r="972" spans="1:11" x14ac:dyDescent="0.3">
      <c r="A972" t="s">
        <v>1956</v>
      </c>
      <c r="B972" t="s">
        <v>1957</v>
      </c>
      <c r="C972">
        <v>141</v>
      </c>
      <c r="D972" t="s">
        <v>28</v>
      </c>
      <c r="E972" s="1">
        <v>44918</v>
      </c>
      <c r="F972">
        <v>5.7</v>
      </c>
      <c r="G972">
        <v>15000</v>
      </c>
      <c r="H972">
        <v>6.4</v>
      </c>
      <c r="I972">
        <v>25</v>
      </c>
      <c r="J972">
        <v>41</v>
      </c>
      <c r="K972">
        <v>20</v>
      </c>
    </row>
    <row r="973" spans="1:11" x14ac:dyDescent="0.3">
      <c r="A973" t="s">
        <v>1958</v>
      </c>
      <c r="B973" t="s">
        <v>1959</v>
      </c>
      <c r="C973">
        <v>104</v>
      </c>
      <c r="D973" t="s">
        <v>28</v>
      </c>
      <c r="E973" s="1">
        <v>44799</v>
      </c>
      <c r="F973">
        <v>4.3</v>
      </c>
      <c r="G973">
        <v>1800</v>
      </c>
      <c r="H973">
        <v>5.7359999999999998</v>
      </c>
      <c r="I973">
        <v>123</v>
      </c>
      <c r="J973">
        <v>39</v>
      </c>
      <c r="K973">
        <v>20</v>
      </c>
    </row>
    <row r="974" spans="1:11" x14ac:dyDescent="0.3">
      <c r="A974" t="s">
        <v>1960</v>
      </c>
      <c r="B974" t="s">
        <v>1961</v>
      </c>
      <c r="C974">
        <v>126</v>
      </c>
      <c r="D974" t="s">
        <v>28</v>
      </c>
      <c r="E974" s="1">
        <v>44652</v>
      </c>
      <c r="F974">
        <v>4.7</v>
      </c>
      <c r="G974">
        <v>29000</v>
      </c>
      <c r="H974">
        <v>4.5990000000000002</v>
      </c>
      <c r="I974">
        <v>503</v>
      </c>
      <c r="J974">
        <v>34</v>
      </c>
      <c r="K974">
        <v>20</v>
      </c>
    </row>
    <row r="975" spans="1:11" x14ac:dyDescent="0.3">
      <c r="A975" t="s">
        <v>1962</v>
      </c>
      <c r="B975" t="s">
        <v>1963</v>
      </c>
      <c r="C975">
        <v>98</v>
      </c>
      <c r="D975" t="s">
        <v>15</v>
      </c>
      <c r="E975" s="1">
        <v>45296</v>
      </c>
      <c r="F975">
        <v>4.7</v>
      </c>
      <c r="G975">
        <v>27000</v>
      </c>
      <c r="H975">
        <v>5.5039999999999996</v>
      </c>
      <c r="I975">
        <v>834</v>
      </c>
      <c r="J975">
        <v>43</v>
      </c>
      <c r="K975">
        <v>19</v>
      </c>
    </row>
    <row r="976" spans="1:11" x14ac:dyDescent="0.3">
      <c r="A976" t="s">
        <v>1964</v>
      </c>
      <c r="B976" t="s">
        <v>1965</v>
      </c>
      <c r="C976">
        <v>83</v>
      </c>
      <c r="D976" t="s">
        <v>28</v>
      </c>
      <c r="E976" s="1">
        <v>45695</v>
      </c>
      <c r="F976">
        <v>5.2</v>
      </c>
      <c r="G976">
        <v>7500</v>
      </c>
      <c r="H976">
        <v>5.6630000000000003</v>
      </c>
      <c r="I976">
        <v>356</v>
      </c>
      <c r="J976">
        <v>34</v>
      </c>
      <c r="K976">
        <v>18</v>
      </c>
    </row>
    <row r="977" spans="1:11" x14ac:dyDescent="0.3">
      <c r="A977" t="s">
        <v>1966</v>
      </c>
      <c r="B977" t="s">
        <v>1967</v>
      </c>
      <c r="C977">
        <v>118</v>
      </c>
      <c r="D977" t="s">
        <v>15</v>
      </c>
      <c r="E977" s="1">
        <v>45436</v>
      </c>
      <c r="F977">
        <v>5.6</v>
      </c>
      <c r="G977">
        <v>55000</v>
      </c>
      <c r="H977">
        <v>6.6719999999999997</v>
      </c>
      <c r="I977">
        <v>1533</v>
      </c>
      <c r="J977">
        <v>37</v>
      </c>
      <c r="K977">
        <v>18</v>
      </c>
    </row>
    <row r="978" spans="1:11" x14ac:dyDescent="0.3">
      <c r="A978" t="s">
        <v>1968</v>
      </c>
      <c r="B978" t="s">
        <v>1969</v>
      </c>
      <c r="C978">
        <v>120</v>
      </c>
      <c r="D978" t="s">
        <v>28</v>
      </c>
      <c r="E978" s="1">
        <v>45345</v>
      </c>
      <c r="F978">
        <v>4.2</v>
      </c>
      <c r="G978">
        <v>7000</v>
      </c>
      <c r="H978">
        <v>5.6180000000000003</v>
      </c>
      <c r="I978">
        <v>199</v>
      </c>
      <c r="J978">
        <v>33</v>
      </c>
      <c r="K978">
        <v>18</v>
      </c>
    </row>
    <row r="979" spans="1:11" x14ac:dyDescent="0.3">
      <c r="A979" t="s">
        <v>1970</v>
      </c>
      <c r="B979" t="s">
        <v>1971</v>
      </c>
      <c r="C979">
        <v>95</v>
      </c>
      <c r="D979" t="s">
        <v>28</v>
      </c>
      <c r="E979" s="1">
        <v>45561</v>
      </c>
      <c r="F979">
        <v>5.6</v>
      </c>
      <c r="G979">
        <v>13000</v>
      </c>
      <c r="H979">
        <v>5.7960000000000003</v>
      </c>
      <c r="I979">
        <v>313</v>
      </c>
      <c r="J979">
        <v>33</v>
      </c>
      <c r="K979">
        <v>17</v>
      </c>
    </row>
    <row r="980" spans="1:11" x14ac:dyDescent="0.3">
      <c r="A980" t="s">
        <v>1972</v>
      </c>
      <c r="B980" t="s">
        <v>1973</v>
      </c>
      <c r="C980">
        <v>92</v>
      </c>
      <c r="D980" t="s">
        <v>15</v>
      </c>
      <c r="E980" s="1">
        <v>45415</v>
      </c>
      <c r="F980">
        <v>4.8</v>
      </c>
      <c r="G980">
        <v>31000</v>
      </c>
      <c r="H980">
        <v>6.3639999999999999</v>
      </c>
      <c r="I980">
        <v>1374</v>
      </c>
      <c r="J980">
        <v>36</v>
      </c>
      <c r="K980">
        <v>17</v>
      </c>
    </row>
    <row r="981" spans="1:11" x14ac:dyDescent="0.3">
      <c r="A981" t="s">
        <v>1974</v>
      </c>
      <c r="B981" t="s">
        <v>1975</v>
      </c>
      <c r="C981">
        <v>102</v>
      </c>
      <c r="D981" t="s">
        <v>15</v>
      </c>
      <c r="E981" s="1">
        <v>44729</v>
      </c>
      <c r="F981">
        <v>3.8</v>
      </c>
      <c r="G981">
        <v>4100</v>
      </c>
      <c r="H981">
        <v>5.8</v>
      </c>
      <c r="I981">
        <v>298</v>
      </c>
      <c r="J981">
        <v>38</v>
      </c>
      <c r="K981">
        <v>17</v>
      </c>
    </row>
    <row r="982" spans="1:11" x14ac:dyDescent="0.3">
      <c r="A982" t="s">
        <v>1976</v>
      </c>
      <c r="B982" t="s">
        <v>1977</v>
      </c>
      <c r="C982">
        <v>165</v>
      </c>
      <c r="D982" t="s">
        <v>28</v>
      </c>
      <c r="E982" s="1">
        <v>45023</v>
      </c>
      <c r="F982">
        <v>6.2</v>
      </c>
      <c r="G982">
        <v>568</v>
      </c>
      <c r="H982">
        <v>6</v>
      </c>
      <c r="I982">
        <v>12</v>
      </c>
      <c r="J982">
        <v>30</v>
      </c>
      <c r="K982">
        <v>16</v>
      </c>
    </row>
    <row r="983" spans="1:11" x14ac:dyDescent="0.3">
      <c r="A983" t="s">
        <v>1978</v>
      </c>
      <c r="B983" t="s">
        <v>1979</v>
      </c>
      <c r="C983">
        <v>127</v>
      </c>
      <c r="D983" t="s">
        <v>28</v>
      </c>
      <c r="E983" s="1">
        <v>45639</v>
      </c>
      <c r="F983">
        <v>5.4</v>
      </c>
      <c r="G983">
        <v>47000</v>
      </c>
      <c r="H983">
        <v>6.4320000000000004</v>
      </c>
      <c r="I983">
        <v>2282</v>
      </c>
      <c r="J983">
        <v>35</v>
      </c>
      <c r="K983">
        <v>15</v>
      </c>
    </row>
    <row r="984" spans="1:11" x14ac:dyDescent="0.3">
      <c r="A984" t="s">
        <v>1980</v>
      </c>
      <c r="B984" t="s">
        <v>1981</v>
      </c>
      <c r="C984">
        <v>93</v>
      </c>
      <c r="D984" t="s">
        <v>15</v>
      </c>
      <c r="E984" s="1">
        <v>44862</v>
      </c>
      <c r="F984">
        <v>5.3</v>
      </c>
      <c r="G984">
        <v>20000</v>
      </c>
      <c r="H984">
        <v>6.9</v>
      </c>
      <c r="I984">
        <v>1002</v>
      </c>
      <c r="J984">
        <v>38</v>
      </c>
      <c r="K984">
        <v>15</v>
      </c>
    </row>
    <row r="985" spans="1:11" x14ac:dyDescent="0.3">
      <c r="A985" t="s">
        <v>1982</v>
      </c>
      <c r="B985" t="s">
        <v>1983</v>
      </c>
      <c r="C985">
        <v>104</v>
      </c>
      <c r="D985" t="s">
        <v>15</v>
      </c>
      <c r="E985" s="1">
        <v>44652</v>
      </c>
      <c r="F985">
        <v>5.0999999999999996</v>
      </c>
      <c r="G985">
        <v>163000</v>
      </c>
      <c r="H985">
        <v>5.9180000000000001</v>
      </c>
      <c r="I985">
        <v>4764</v>
      </c>
      <c r="J985">
        <v>35</v>
      </c>
      <c r="K985">
        <v>15</v>
      </c>
    </row>
    <row r="986" spans="1:11" x14ac:dyDescent="0.3">
      <c r="A986" t="s">
        <v>1984</v>
      </c>
      <c r="B986" t="s">
        <v>1985</v>
      </c>
      <c r="C986">
        <v>125</v>
      </c>
      <c r="D986" t="s">
        <v>15</v>
      </c>
      <c r="E986" s="1">
        <v>45730</v>
      </c>
      <c r="F986">
        <v>6</v>
      </c>
      <c r="G986">
        <v>43000</v>
      </c>
      <c r="H986">
        <v>6.4870000000000001</v>
      </c>
      <c r="I986">
        <v>1604</v>
      </c>
      <c r="J986">
        <v>29</v>
      </c>
      <c r="K986">
        <v>14</v>
      </c>
    </row>
    <row r="987" spans="1:11" x14ac:dyDescent="0.3">
      <c r="A987" t="s">
        <v>1986</v>
      </c>
      <c r="B987" t="s">
        <v>1987</v>
      </c>
      <c r="C987">
        <v>100</v>
      </c>
      <c r="D987" t="s">
        <v>15</v>
      </c>
      <c r="E987" s="1">
        <v>45548</v>
      </c>
      <c r="F987">
        <v>4.7</v>
      </c>
      <c r="G987">
        <v>32000</v>
      </c>
      <c r="H987">
        <v>5.7469999999999999</v>
      </c>
      <c r="I987">
        <v>912</v>
      </c>
      <c r="J987">
        <v>34</v>
      </c>
      <c r="K987">
        <v>14</v>
      </c>
    </row>
    <row r="988" spans="1:11" x14ac:dyDescent="0.3">
      <c r="A988" t="s">
        <v>1988</v>
      </c>
      <c r="B988" t="s">
        <v>1989</v>
      </c>
      <c r="C988">
        <v>103</v>
      </c>
      <c r="D988" t="s">
        <v>28</v>
      </c>
      <c r="E988" s="1">
        <v>45191</v>
      </c>
      <c r="F988">
        <v>4.8</v>
      </c>
      <c r="G988">
        <v>49000</v>
      </c>
      <c r="H988">
        <v>6.0730000000000004</v>
      </c>
      <c r="I988">
        <v>1848</v>
      </c>
      <c r="J988">
        <v>30</v>
      </c>
      <c r="K988">
        <v>14</v>
      </c>
    </row>
    <row r="989" spans="1:11" x14ac:dyDescent="0.3">
      <c r="A989" t="s">
        <v>1990</v>
      </c>
      <c r="B989" t="s">
        <v>1991</v>
      </c>
      <c r="C989">
        <v>92</v>
      </c>
      <c r="D989" t="s">
        <v>28</v>
      </c>
      <c r="E989" s="1">
        <v>44876</v>
      </c>
      <c r="F989">
        <v>3.7</v>
      </c>
      <c r="G989">
        <v>4700</v>
      </c>
      <c r="H989">
        <v>5.4749999999999996</v>
      </c>
      <c r="I989">
        <v>177</v>
      </c>
      <c r="J989">
        <v>31</v>
      </c>
      <c r="K989">
        <v>14</v>
      </c>
    </row>
    <row r="990" spans="1:11" x14ac:dyDescent="0.3">
      <c r="A990" t="s">
        <v>1992</v>
      </c>
      <c r="B990" t="s">
        <v>1993</v>
      </c>
      <c r="C990">
        <v>88</v>
      </c>
      <c r="D990" t="s">
        <v>160</v>
      </c>
      <c r="E990" s="1">
        <v>45421</v>
      </c>
      <c r="F990">
        <v>4.8</v>
      </c>
      <c r="G990">
        <v>17000</v>
      </c>
      <c r="H990">
        <v>5.9</v>
      </c>
      <c r="I990">
        <v>345</v>
      </c>
      <c r="J990">
        <v>39</v>
      </c>
      <c r="K990">
        <v>13</v>
      </c>
    </row>
    <row r="991" spans="1:11" x14ac:dyDescent="0.3">
      <c r="A991" t="s">
        <v>1994</v>
      </c>
      <c r="B991" t="s">
        <v>1995</v>
      </c>
      <c r="C991">
        <v>104</v>
      </c>
      <c r="D991" t="s">
        <v>15</v>
      </c>
      <c r="E991" s="1">
        <v>44603</v>
      </c>
      <c r="F991">
        <v>4.8</v>
      </c>
      <c r="G991">
        <v>27000</v>
      </c>
      <c r="H991">
        <v>6.1529999999999996</v>
      </c>
      <c r="I991">
        <v>1252</v>
      </c>
      <c r="J991">
        <v>27</v>
      </c>
      <c r="K991">
        <v>12</v>
      </c>
    </row>
    <row r="992" spans="1:11" x14ac:dyDescent="0.3">
      <c r="A992" t="s">
        <v>1996</v>
      </c>
      <c r="B992" t="s">
        <v>1997</v>
      </c>
      <c r="C992">
        <v>93</v>
      </c>
      <c r="D992" t="s">
        <v>28</v>
      </c>
      <c r="E992" s="1">
        <v>45006</v>
      </c>
      <c r="F992">
        <v>3.8</v>
      </c>
      <c r="G992">
        <v>4900</v>
      </c>
      <c r="H992">
        <v>5</v>
      </c>
      <c r="I992">
        <v>155</v>
      </c>
      <c r="J992">
        <v>22</v>
      </c>
      <c r="K992">
        <v>11</v>
      </c>
    </row>
    <row r="993" spans="1:11" x14ac:dyDescent="0.3">
      <c r="A993" t="s">
        <v>1998</v>
      </c>
      <c r="B993" t="s">
        <v>1999</v>
      </c>
      <c r="C993">
        <v>101</v>
      </c>
      <c r="D993" t="s">
        <v>15</v>
      </c>
      <c r="E993" s="1">
        <v>45513</v>
      </c>
      <c r="F993">
        <v>4.7</v>
      </c>
      <c r="G993">
        <v>46000</v>
      </c>
      <c r="H993">
        <v>5.601</v>
      </c>
      <c r="I993">
        <v>1461</v>
      </c>
      <c r="J993">
        <v>26</v>
      </c>
      <c r="K993">
        <v>10</v>
      </c>
    </row>
    <row r="994" spans="1:11" x14ac:dyDescent="0.3">
      <c r="A994" t="s">
        <v>2000</v>
      </c>
      <c r="B994" t="s">
        <v>2001</v>
      </c>
      <c r="C994">
        <v>116</v>
      </c>
      <c r="D994" t="s">
        <v>15</v>
      </c>
      <c r="E994" s="1">
        <v>45336</v>
      </c>
      <c r="F994">
        <v>4</v>
      </c>
      <c r="G994">
        <v>99000</v>
      </c>
      <c r="H994">
        <v>5.3010000000000002</v>
      </c>
      <c r="I994">
        <v>2528</v>
      </c>
      <c r="J994">
        <v>26</v>
      </c>
      <c r="K994">
        <v>10</v>
      </c>
    </row>
    <row r="995" spans="1:11" x14ac:dyDescent="0.3">
      <c r="A995" t="s">
        <v>2002</v>
      </c>
      <c r="B995" t="s">
        <v>2003</v>
      </c>
      <c r="C995">
        <v>108</v>
      </c>
      <c r="D995" t="s">
        <v>28</v>
      </c>
      <c r="E995" s="1">
        <v>45226</v>
      </c>
      <c r="F995">
        <v>5.5</v>
      </c>
      <c r="G995">
        <v>25000</v>
      </c>
      <c r="H995">
        <v>6.4</v>
      </c>
      <c r="I995">
        <v>1133</v>
      </c>
      <c r="J995">
        <v>26</v>
      </c>
      <c r="K995">
        <v>10</v>
      </c>
    </row>
    <row r="996" spans="1:11" x14ac:dyDescent="0.3">
      <c r="A996" t="s">
        <v>2004</v>
      </c>
      <c r="B996" t="s">
        <v>2005</v>
      </c>
      <c r="C996">
        <v>94</v>
      </c>
      <c r="D996" t="s">
        <v>28</v>
      </c>
      <c r="E996" s="1">
        <v>44694</v>
      </c>
      <c r="F996">
        <v>4.5999999999999996</v>
      </c>
      <c r="G996">
        <v>24000</v>
      </c>
      <c r="H996">
        <v>5.4820000000000002</v>
      </c>
      <c r="I996">
        <v>799</v>
      </c>
      <c r="J996">
        <v>32</v>
      </c>
      <c r="K996">
        <v>10</v>
      </c>
    </row>
    <row r="997" spans="1:11" x14ac:dyDescent="0.3">
      <c r="A997" t="s">
        <v>2006</v>
      </c>
      <c r="B997" t="s">
        <v>2007</v>
      </c>
      <c r="C997">
        <v>94</v>
      </c>
      <c r="D997" t="s">
        <v>18</v>
      </c>
      <c r="E997" s="1">
        <v>44887</v>
      </c>
      <c r="F997">
        <v>5.2</v>
      </c>
      <c r="G997">
        <v>15000</v>
      </c>
      <c r="H997">
        <v>5.6</v>
      </c>
      <c r="I997">
        <v>414</v>
      </c>
      <c r="J997">
        <v>43</v>
      </c>
      <c r="K997">
        <v>9</v>
      </c>
    </row>
    <row r="998" spans="1:11" x14ac:dyDescent="0.3">
      <c r="A998" t="s">
        <v>2008</v>
      </c>
      <c r="B998" t="s">
        <v>2009</v>
      </c>
      <c r="C998">
        <v>95</v>
      </c>
      <c r="D998" t="s">
        <v>15</v>
      </c>
      <c r="E998" s="1">
        <v>45443</v>
      </c>
      <c r="F998">
        <v>4.5</v>
      </c>
      <c r="G998">
        <v>1500</v>
      </c>
      <c r="H998">
        <v>5.3</v>
      </c>
      <c r="I998">
        <v>43</v>
      </c>
      <c r="J998">
        <v>41</v>
      </c>
      <c r="K998">
        <v>8</v>
      </c>
    </row>
    <row r="999" spans="1:11" x14ac:dyDescent="0.3">
      <c r="A999" t="s">
        <v>2010</v>
      </c>
      <c r="B999" t="s">
        <v>2011</v>
      </c>
      <c r="C999">
        <v>101</v>
      </c>
      <c r="D999" t="s">
        <v>28</v>
      </c>
      <c r="E999" s="1">
        <v>44799</v>
      </c>
      <c r="F999">
        <v>5.0999999999999996</v>
      </c>
      <c r="G999">
        <v>43000</v>
      </c>
      <c r="H999">
        <v>5.8529999999999998</v>
      </c>
      <c r="I999">
        <v>1007</v>
      </c>
      <c r="J999">
        <v>25</v>
      </c>
      <c r="K999">
        <v>7</v>
      </c>
    </row>
    <row r="1000" spans="1:11" x14ac:dyDescent="0.3">
      <c r="A1000" t="s">
        <v>2012</v>
      </c>
      <c r="B1000" t="s">
        <v>2013</v>
      </c>
      <c r="C1000">
        <v>84</v>
      </c>
      <c r="D1000" t="s">
        <v>18</v>
      </c>
      <c r="E1000" s="1">
        <v>45002</v>
      </c>
      <c r="F1000">
        <v>2.9</v>
      </c>
      <c r="G1000">
        <v>33000</v>
      </c>
      <c r="H1000">
        <v>4.9710000000000001</v>
      </c>
      <c r="I1000">
        <v>1552</v>
      </c>
      <c r="J1000">
        <v>16</v>
      </c>
      <c r="K1000">
        <v>3</v>
      </c>
    </row>
    <row r="1001" spans="1:11" x14ac:dyDescent="0.3">
      <c r="A1001" t="s">
        <v>2014</v>
      </c>
      <c r="B1001" t="s">
        <v>2015</v>
      </c>
      <c r="C1001">
        <v>95</v>
      </c>
      <c r="D1001" t="s">
        <v>28</v>
      </c>
      <c r="E1001" s="1">
        <v>45673</v>
      </c>
      <c r="F1001">
        <v>3.3</v>
      </c>
      <c r="G1001">
        <v>2200</v>
      </c>
      <c r="H1001">
        <v>5.6</v>
      </c>
      <c r="I1001">
        <v>391</v>
      </c>
      <c r="J1001">
        <v>23</v>
      </c>
      <c r="K1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D9B27-A1D6-499A-BFAD-F6313CE65219}">
  <dimension ref="A1:J6"/>
  <sheetViews>
    <sheetView zoomScale="117" workbookViewId="0">
      <selection activeCell="J9" sqref="J9"/>
    </sheetView>
  </sheetViews>
  <sheetFormatPr defaultRowHeight="14.4" x14ac:dyDescent="0.3"/>
  <cols>
    <col min="2" max="2" width="9.5546875" bestFit="1" customWidth="1"/>
    <col min="3" max="3" width="11.33203125" customWidth="1"/>
    <col min="5" max="5" width="11.5546875" customWidth="1"/>
    <col min="7" max="7" width="12.44140625" customWidth="1"/>
    <col min="9" max="9" width="14.88671875" customWidth="1"/>
    <col min="10" max="10" width="10.109375" customWidth="1"/>
  </cols>
  <sheetData>
    <row r="1" spans="1:10" x14ac:dyDescent="0.3">
      <c r="A1" s="13"/>
      <c r="B1" s="3" t="s">
        <v>2022</v>
      </c>
      <c r="C1" s="3" t="s">
        <v>2023</v>
      </c>
      <c r="D1" s="3" t="s">
        <v>2024</v>
      </c>
      <c r="E1" s="3" t="s">
        <v>2025</v>
      </c>
      <c r="F1" s="3" t="s">
        <v>2027</v>
      </c>
      <c r="G1" s="4" t="s">
        <v>2026</v>
      </c>
    </row>
    <row r="2" spans="1:10" x14ac:dyDescent="0.3">
      <c r="A2" s="5" t="s">
        <v>2017</v>
      </c>
      <c r="B2" s="10">
        <f>AVERAGE(thousand_movies_with_ratings!F:F)</f>
        <v>6.3105000000000064</v>
      </c>
      <c r="C2" s="14">
        <f>AVERAGE(thousand_movies_with_ratings!G:G)</f>
        <v>50846.358999999997</v>
      </c>
      <c r="D2" s="14">
        <f>AVERAGE(thousand_movies_with_ratings!H:H)</f>
        <v>6.5563679999999911</v>
      </c>
      <c r="E2" s="14">
        <f>AVERAGE(thousand_movies_with_ratings!I:I)</f>
        <v>1129.7650000000001</v>
      </c>
      <c r="F2" s="14">
        <f>AVERAGE(thousand_movies_with_ratings!J:J)</f>
        <v>60.637</v>
      </c>
      <c r="G2" s="11">
        <f>AVERAGE(thousand_movies_with_ratings!K:K)</f>
        <v>68.977999999999994</v>
      </c>
      <c r="I2" t="s">
        <v>2062</v>
      </c>
      <c r="J2" s="1">
        <v>44603</v>
      </c>
    </row>
    <row r="3" spans="1:10" x14ac:dyDescent="0.3">
      <c r="A3" s="5" t="s">
        <v>2018</v>
      </c>
      <c r="B3" s="15">
        <f>MEDIAN(thousand_movies_with_ratings!F:F)</f>
        <v>6.4</v>
      </c>
      <c r="C3">
        <f>MEDIAN(thousand_movies_with_ratings!G:G)</f>
        <v>17000</v>
      </c>
      <c r="D3">
        <f>MEDIAN(thousand_movies_with_ratings!H:H)</f>
        <v>6.6</v>
      </c>
      <c r="E3">
        <f>MEDIAN(thousand_movies_with_ratings!I:I)</f>
        <v>483</v>
      </c>
      <c r="F3">
        <f>MEDIAN(thousand_movies_with_ratings!J:J)</f>
        <v>61</v>
      </c>
      <c r="G3" s="6">
        <f>MEDIAN(thousand_movies_with_ratings!K:K)</f>
        <v>76</v>
      </c>
      <c r="I3" t="s">
        <v>2063</v>
      </c>
      <c r="J3" s="1">
        <v>45898</v>
      </c>
    </row>
    <row r="4" spans="1:10" x14ac:dyDescent="0.3">
      <c r="A4" s="5" t="s">
        <v>2019</v>
      </c>
      <c r="B4" s="15">
        <f>STDEV(thousand_movies_with_ratings!F:F)</f>
        <v>0.89471798365193234</v>
      </c>
      <c r="C4">
        <f>STDEV(thousand_movies_with_ratings!G:G)</f>
        <v>89414.624727106071</v>
      </c>
      <c r="D4">
        <f>STDEV(thousand_movies_with_ratings!H:H)</f>
        <v>0.74105949677060245</v>
      </c>
      <c r="E4">
        <f>STDEV(thousand_movies_with_ratings!I:I)</f>
        <v>1694.6003889570111</v>
      </c>
      <c r="F4">
        <f>STDEV(thousand_movies_with_ratings!J:J)</f>
        <v>15.165395485124032</v>
      </c>
      <c r="G4" s="6">
        <f>STDEV(thousand_movies_with_ratings!K:K)</f>
        <v>24.242508434879735</v>
      </c>
    </row>
    <row r="5" spans="1:10" x14ac:dyDescent="0.3">
      <c r="A5" s="5" t="s">
        <v>2020</v>
      </c>
      <c r="B5" s="15">
        <f>MIN(thousand_movies_with_ratings!F:F)</f>
        <v>1.6</v>
      </c>
      <c r="C5">
        <f>MIN(thousand_movies_with_ratings!G:G)</f>
        <v>388</v>
      </c>
      <c r="D5">
        <f>MIN(thousand_movies_with_ratings!H:H)</f>
        <v>2.2000000000000002</v>
      </c>
      <c r="E5">
        <f>MIN(thousand_movies_with_ratings!I:I)</f>
        <v>5</v>
      </c>
      <c r="F5">
        <f>MIN(thousand_movies_with_ratings!J:J)</f>
        <v>14</v>
      </c>
      <c r="G5" s="6">
        <f>MIN(thousand_movies_with_ratings!K:K)</f>
        <v>0</v>
      </c>
    </row>
    <row r="6" spans="1:10" ht="15" thickBot="1" x14ac:dyDescent="0.35">
      <c r="A6" s="7" t="s">
        <v>2021</v>
      </c>
      <c r="B6" s="12">
        <f>MAX(thousand_movies_with_ratings!F:F)</f>
        <v>8.6</v>
      </c>
      <c r="C6" s="8">
        <f>MAX(thousand_movies_with_ratings!G:G)</f>
        <v>869000</v>
      </c>
      <c r="D6" s="8">
        <f>MAX(thousand_movies_with_ratings!H:H)</f>
        <v>8.3330000000000002</v>
      </c>
      <c r="E6" s="8">
        <f>MAX(thousand_movies_with_ratings!I:I)</f>
        <v>13962</v>
      </c>
      <c r="F6" s="8">
        <f>MAX(thousand_movies_with_ratings!J:J)</f>
        <v>95</v>
      </c>
      <c r="G6" s="9">
        <f>MAX(thousand_movies_with_ratings!K:K)</f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2909F-FB24-4012-82B1-5FFD4068DAE7}">
  <dimension ref="A1:D33"/>
  <sheetViews>
    <sheetView workbookViewId="0">
      <selection activeCell="D23" sqref="D23"/>
    </sheetView>
  </sheetViews>
  <sheetFormatPr defaultRowHeight="14.4" x14ac:dyDescent="0.3"/>
  <cols>
    <col min="1" max="1" width="25.21875" customWidth="1"/>
    <col min="2" max="2" width="14.88671875" customWidth="1"/>
    <col min="3" max="3" width="13.88671875" customWidth="1"/>
  </cols>
  <sheetData>
    <row r="1" spans="1:4" x14ac:dyDescent="0.3">
      <c r="A1" t="s">
        <v>2029</v>
      </c>
    </row>
    <row r="2" spans="1:4" x14ac:dyDescent="0.3">
      <c r="A2" t="s">
        <v>2030</v>
      </c>
    </row>
    <row r="3" spans="1:4" x14ac:dyDescent="0.3">
      <c r="A3" t="s">
        <v>2031</v>
      </c>
    </row>
    <row r="5" spans="1:4" x14ac:dyDescent="0.3">
      <c r="A5" t="s">
        <v>2049</v>
      </c>
    </row>
    <row r="6" spans="1:4" ht="15" thickBot="1" x14ac:dyDescent="0.35"/>
    <row r="7" spans="1:4" x14ac:dyDescent="0.3">
      <c r="A7" s="33"/>
      <c r="B7" s="33" t="s">
        <v>2022</v>
      </c>
      <c r="C7" s="33" t="s">
        <v>2024</v>
      </c>
    </row>
    <row r="8" spans="1:4" x14ac:dyDescent="0.3">
      <c r="A8" s="31" t="s">
        <v>2017</v>
      </c>
      <c r="B8" s="31">
        <v>6.3105000000000064</v>
      </c>
      <c r="C8" s="31">
        <v>6.5563679999999911</v>
      </c>
      <c r="D8">
        <f>B8-C8</f>
        <v>-0.24586799999998465</v>
      </c>
    </row>
    <row r="9" spans="1:4" x14ac:dyDescent="0.3">
      <c r="A9" s="31" t="s">
        <v>2050</v>
      </c>
      <c r="B9" s="31">
        <v>0.80052027027017947</v>
      </c>
      <c r="C9" s="31">
        <v>0.54916917775389862</v>
      </c>
    </row>
    <row r="10" spans="1:4" x14ac:dyDescent="0.3">
      <c r="A10" s="31" t="s">
        <v>2051</v>
      </c>
      <c r="B10" s="31">
        <v>1000</v>
      </c>
      <c r="C10" s="31">
        <v>1000</v>
      </c>
    </row>
    <row r="11" spans="1:4" x14ac:dyDescent="0.3">
      <c r="A11" s="31" t="s">
        <v>2052</v>
      </c>
      <c r="B11" s="31">
        <v>0.79214217024486044</v>
      </c>
      <c r="C11" s="31"/>
    </row>
    <row r="12" spans="1:4" x14ac:dyDescent="0.3">
      <c r="A12" s="31" t="s">
        <v>2053</v>
      </c>
      <c r="B12" s="31">
        <v>0</v>
      </c>
      <c r="C12" s="31"/>
    </row>
    <row r="13" spans="1:4" x14ac:dyDescent="0.3">
      <c r="A13" s="31" t="s">
        <v>2054</v>
      </c>
      <c r="B13" s="31">
        <v>999</v>
      </c>
      <c r="C13" s="31"/>
    </row>
    <row r="14" spans="1:4" x14ac:dyDescent="0.3">
      <c r="A14" s="31" t="s">
        <v>2055</v>
      </c>
      <c r="B14" s="31">
        <v>-14.213050509350126</v>
      </c>
      <c r="C14" s="31"/>
    </row>
    <row r="15" spans="1:4" x14ac:dyDescent="0.3">
      <c r="A15" s="31" t="s">
        <v>2056</v>
      </c>
      <c r="B15" s="31">
        <v>3.4297512436606422E-42</v>
      </c>
      <c r="C15" s="31"/>
    </row>
    <row r="16" spans="1:4" x14ac:dyDescent="0.3">
      <c r="A16" s="31" t="s">
        <v>2057</v>
      </c>
      <c r="B16" s="31">
        <v>1.6463803454274908</v>
      </c>
      <c r="C16" s="31"/>
    </row>
    <row r="17" spans="1:4" x14ac:dyDescent="0.3">
      <c r="A17" s="31" t="s">
        <v>2058</v>
      </c>
      <c r="B17" s="35">
        <v>6.8595024873212845E-42</v>
      </c>
      <c r="C17" s="31"/>
    </row>
    <row r="18" spans="1:4" ht="15" thickBot="1" x14ac:dyDescent="0.35">
      <c r="A18" s="32" t="s">
        <v>2059</v>
      </c>
      <c r="B18" s="32">
        <v>1.9623414611334626</v>
      </c>
      <c r="C18" s="32"/>
    </row>
    <row r="21" spans="1:4" ht="15" thickBot="1" x14ac:dyDescent="0.35"/>
    <row r="22" spans="1:4" x14ac:dyDescent="0.3">
      <c r="A22" s="33"/>
      <c r="B22" s="33" t="s">
        <v>2027</v>
      </c>
      <c r="C22" s="33" t="s">
        <v>2060</v>
      </c>
    </row>
    <row r="23" spans="1:4" x14ac:dyDescent="0.3">
      <c r="A23" s="31" t="s">
        <v>2017</v>
      </c>
      <c r="B23" s="31">
        <v>60.637</v>
      </c>
      <c r="C23" s="31">
        <v>68.977999999999994</v>
      </c>
      <c r="D23">
        <f>B23-C23</f>
        <v>-8.340999999999994</v>
      </c>
    </row>
    <row r="24" spans="1:4" x14ac:dyDescent="0.3">
      <c r="A24" s="31" t="s">
        <v>2050</v>
      </c>
      <c r="B24" s="31">
        <v>229.98922022022037</v>
      </c>
      <c r="C24" s="31">
        <v>587.69921521521508</v>
      </c>
    </row>
    <row r="25" spans="1:4" x14ac:dyDescent="0.3">
      <c r="A25" s="31" t="s">
        <v>2051</v>
      </c>
      <c r="B25" s="31">
        <v>1000</v>
      </c>
      <c r="C25" s="31">
        <v>1000</v>
      </c>
    </row>
    <row r="26" spans="1:4" x14ac:dyDescent="0.3">
      <c r="A26" s="31" t="s">
        <v>2052</v>
      </c>
      <c r="B26" s="31">
        <v>0.87643863389519983</v>
      </c>
      <c r="C26" s="31"/>
    </row>
    <row r="27" spans="1:4" x14ac:dyDescent="0.3">
      <c r="A27" s="31" t="s">
        <v>2053</v>
      </c>
      <c r="B27" s="31">
        <v>0</v>
      </c>
      <c r="C27" s="31"/>
    </row>
    <row r="28" spans="1:4" x14ac:dyDescent="0.3">
      <c r="A28" s="31" t="s">
        <v>2054</v>
      </c>
      <c r="B28" s="31">
        <v>999</v>
      </c>
      <c r="C28" s="31"/>
    </row>
    <row r="29" spans="1:4" x14ac:dyDescent="0.3">
      <c r="A29" s="31" t="s">
        <v>2055</v>
      </c>
      <c r="B29" s="31">
        <v>-20.039369248371436</v>
      </c>
      <c r="C29" s="31"/>
    </row>
    <row r="30" spans="1:4" x14ac:dyDescent="0.3">
      <c r="A30" s="31" t="s">
        <v>2056</v>
      </c>
      <c r="B30" s="31">
        <v>1.1856060251391777E-75</v>
      </c>
      <c r="C30" s="31"/>
    </row>
    <row r="31" spans="1:4" x14ac:dyDescent="0.3">
      <c r="A31" s="31" t="s">
        <v>2057</v>
      </c>
      <c r="B31" s="31">
        <v>1.6463803454274908</v>
      </c>
      <c r="C31" s="31"/>
    </row>
    <row r="32" spans="1:4" x14ac:dyDescent="0.3">
      <c r="A32" s="31" t="s">
        <v>2058</v>
      </c>
      <c r="B32" s="35">
        <v>2.3712120502783553E-75</v>
      </c>
      <c r="C32" s="31"/>
    </row>
    <row r="33" spans="1:3" ht="15" thickBot="1" x14ac:dyDescent="0.35">
      <c r="A33" s="32" t="s">
        <v>2059</v>
      </c>
      <c r="B33" s="32">
        <v>1.9623414611334626</v>
      </c>
      <c r="C33" s="3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E1934-53EA-4A82-B702-4ED0E7DE9499}">
  <dimension ref="A1:G1001"/>
  <sheetViews>
    <sheetView zoomScale="150" zoomScaleNormal="150" workbookViewId="0">
      <selection activeCell="D12" sqref="D12:E12"/>
    </sheetView>
  </sheetViews>
  <sheetFormatPr defaultRowHeight="14.4" x14ac:dyDescent="0.3"/>
  <cols>
    <col min="5" max="5" width="21.109375" customWidth="1"/>
  </cols>
  <sheetData>
    <row r="1" spans="1:5" x14ac:dyDescent="0.3">
      <c r="A1" t="s">
        <v>2032</v>
      </c>
    </row>
    <row r="2" spans="1:5" x14ac:dyDescent="0.3">
      <c r="A2">
        <f>thousand_movies_with_ratings!G2/thousand_movies_with_ratings!I2</f>
        <v>102.14285714285714</v>
      </c>
    </row>
    <row r="3" spans="1:5" x14ac:dyDescent="0.3">
      <c r="A3">
        <f>thousand_movies_with_ratings!G3/thousand_movies_with_ratings!I3</f>
        <v>46.692607003891048</v>
      </c>
    </row>
    <row r="4" spans="1:5" ht="15" thickBot="1" x14ac:dyDescent="0.35">
      <c r="A4">
        <f>thousand_movies_with_ratings!G4/thousand_movies_with_ratings!I4</f>
        <v>17.416545718432509</v>
      </c>
      <c r="C4" t="s">
        <v>2035</v>
      </c>
    </row>
    <row r="5" spans="1:5" x14ac:dyDescent="0.3">
      <c r="A5">
        <f>thousand_movies_with_ratings!G5/thousand_movies_with_ratings!I5</f>
        <v>133.33333333333334</v>
      </c>
      <c r="C5" s="13"/>
      <c r="D5" s="3" t="s">
        <v>2033</v>
      </c>
      <c r="E5" s="4" t="s">
        <v>2034</v>
      </c>
    </row>
    <row r="6" spans="1:5" x14ac:dyDescent="0.3">
      <c r="A6">
        <f>thousand_movies_with_ratings!G6/thousand_movies_with_ratings!I6</f>
        <v>94.685990338164245</v>
      </c>
      <c r="C6" s="5" t="s">
        <v>2021</v>
      </c>
      <c r="D6" s="10">
        <f>MAX(A:A)</f>
        <v>1988.8888888888889</v>
      </c>
      <c r="E6" s="11" t="s">
        <v>1259</v>
      </c>
    </row>
    <row r="7" spans="1:5" x14ac:dyDescent="0.3">
      <c r="A7">
        <f>thousand_movies_with_ratings!G7/thousand_movies_with_ratings!I7</f>
        <v>41.111111111111114</v>
      </c>
      <c r="C7" s="5" t="s">
        <v>2018</v>
      </c>
      <c r="D7" s="15">
        <f>MEDIAN(A:A)</f>
        <v>41.174112256586483</v>
      </c>
      <c r="E7" s="6" t="s">
        <v>2044</v>
      </c>
    </row>
    <row r="8" spans="1:5" ht="15" thickBot="1" x14ac:dyDescent="0.35">
      <c r="A8">
        <f>thousand_movies_with_ratings!G8/thousand_movies_with_ratings!I8</f>
        <v>62.176165803108809</v>
      </c>
      <c r="C8" s="7" t="s">
        <v>2020</v>
      </c>
      <c r="D8" s="12">
        <f>MIN(A:A)</f>
        <v>0.46693386773547096</v>
      </c>
      <c r="E8" s="9" t="s">
        <v>967</v>
      </c>
    </row>
    <row r="9" spans="1:5" x14ac:dyDescent="0.3">
      <c r="A9">
        <f>thousand_movies_with_ratings!G9/thousand_movies_with_ratings!I9</f>
        <v>30.570252792475014</v>
      </c>
    </row>
    <row r="10" spans="1:5" x14ac:dyDescent="0.3">
      <c r="A10">
        <f>thousand_movies_with_ratings!G10/thousand_movies_with_ratings!I10</f>
        <v>23.026692633749569</v>
      </c>
      <c r="C10" t="s">
        <v>2017</v>
      </c>
      <c r="D10">
        <f>AVERAGE(A:A)</f>
        <v>48.323385330229286</v>
      </c>
      <c r="E10" t="s">
        <v>2045</v>
      </c>
    </row>
    <row r="11" spans="1:5" x14ac:dyDescent="0.3">
      <c r="A11">
        <f>thousand_movies_with_ratings!G11/thousand_movies_with_ratings!I11</f>
        <v>48.840381991814461</v>
      </c>
    </row>
    <row r="12" spans="1:5" x14ac:dyDescent="0.3">
      <c r="A12">
        <f>thousand_movies_with_ratings!G12/thousand_movies_with_ratings!I12</f>
        <v>51.5625</v>
      </c>
      <c r="D12">
        <v>0.90458015267175573</v>
      </c>
      <c r="E12" t="s">
        <v>1523</v>
      </c>
    </row>
    <row r="13" spans="1:5" x14ac:dyDescent="0.3">
      <c r="A13">
        <f>thousand_movies_with_ratings!G13/thousand_movies_with_ratings!I13</f>
        <v>38.318912237330039</v>
      </c>
    </row>
    <row r="14" spans="1:5" x14ac:dyDescent="0.3">
      <c r="A14">
        <f>thousand_movies_with_ratings!G14/thousand_movies_with_ratings!I14</f>
        <v>66.006600660066013</v>
      </c>
    </row>
    <row r="15" spans="1:5" x14ac:dyDescent="0.3">
      <c r="A15">
        <f>thousand_movies_with_ratings!G15/thousand_movies_with_ratings!I15</f>
        <v>57.098422572761606</v>
      </c>
    </row>
    <row r="16" spans="1:5" x14ac:dyDescent="0.3">
      <c r="A16">
        <f>thousand_movies_with_ratings!G16/thousand_movies_with_ratings!I16</f>
        <v>68.71247498332221</v>
      </c>
    </row>
    <row r="17" spans="1:1" x14ac:dyDescent="0.3">
      <c r="A17">
        <f>thousand_movies_with_ratings!G17/thousand_movies_with_ratings!I17</f>
        <v>51.333333333333336</v>
      </c>
    </row>
    <row r="18" spans="1:1" x14ac:dyDescent="0.3">
      <c r="A18">
        <f>thousand_movies_with_ratings!G18/thousand_movies_with_ratings!I18</f>
        <v>41.533546325878596</v>
      </c>
    </row>
    <row r="19" spans="1:1" x14ac:dyDescent="0.3">
      <c r="A19">
        <f>thousand_movies_with_ratings!G19/thousand_movies_with_ratings!I19</f>
        <v>53.571428571428569</v>
      </c>
    </row>
    <row r="20" spans="1:1" x14ac:dyDescent="0.3">
      <c r="A20">
        <f>thousand_movies_with_ratings!G20/thousand_movies_with_ratings!I20</f>
        <v>17.184265010351968</v>
      </c>
    </row>
    <row r="21" spans="1:1" x14ac:dyDescent="0.3">
      <c r="A21">
        <f>thousand_movies_with_ratings!G21/thousand_movies_with_ratings!I21</f>
        <v>46.391752577319586</v>
      </c>
    </row>
    <row r="22" spans="1:1" x14ac:dyDescent="0.3">
      <c r="A22">
        <f>thousand_movies_with_ratings!G22/thousand_movies_with_ratings!I22</f>
        <v>37.096774193548384</v>
      </c>
    </row>
    <row r="23" spans="1:1" x14ac:dyDescent="0.3">
      <c r="A23">
        <f>thousand_movies_with_ratings!G23/thousand_movies_with_ratings!I23</f>
        <v>19.26605504587156</v>
      </c>
    </row>
    <row r="24" spans="1:1" x14ac:dyDescent="0.3">
      <c r="A24">
        <f>thousand_movies_with_ratings!G24/thousand_movies_with_ratings!I24</f>
        <v>14.782608695652174</v>
      </c>
    </row>
    <row r="25" spans="1:1" x14ac:dyDescent="0.3">
      <c r="A25">
        <f>thousand_movies_with_ratings!G25/thousand_movies_with_ratings!I25</f>
        <v>33.333333333333336</v>
      </c>
    </row>
    <row r="26" spans="1:1" x14ac:dyDescent="0.3">
      <c r="A26">
        <f>thousand_movies_with_ratings!G26/thousand_movies_with_ratings!I26</f>
        <v>51.2</v>
      </c>
    </row>
    <row r="27" spans="1:1" x14ac:dyDescent="0.3">
      <c r="A27">
        <f>thousand_movies_with_ratings!G27/thousand_movies_with_ratings!I27</f>
        <v>57.41626794258373</v>
      </c>
    </row>
    <row r="28" spans="1:1" x14ac:dyDescent="0.3">
      <c r="A28">
        <f>thousand_movies_with_ratings!G28/thousand_movies_with_ratings!I28</f>
        <v>36.53846153846154</v>
      </c>
    </row>
    <row r="29" spans="1:1" x14ac:dyDescent="0.3">
      <c r="A29">
        <f>thousand_movies_with_ratings!G29/thousand_movies_with_ratings!I29</f>
        <v>49.504950495049506</v>
      </c>
    </row>
    <row r="30" spans="1:1" x14ac:dyDescent="0.3">
      <c r="A30">
        <f>thousand_movies_with_ratings!G30/thousand_movies_with_ratings!I30</f>
        <v>36.189069423929098</v>
      </c>
    </row>
    <row r="31" spans="1:1" x14ac:dyDescent="0.3">
      <c r="A31">
        <f>thousand_movies_with_ratings!G31/thousand_movies_with_ratings!I31</f>
        <v>52.97157622739018</v>
      </c>
    </row>
    <row r="32" spans="1:1" x14ac:dyDescent="0.3">
      <c r="A32">
        <f>thousand_movies_with_ratings!G32/thousand_movies_with_ratings!I32</f>
        <v>27.64423076923077</v>
      </c>
    </row>
    <row r="33" spans="1:1" x14ac:dyDescent="0.3">
      <c r="A33">
        <f>thousand_movies_with_ratings!G33/thousand_movies_with_ratings!I33</f>
        <v>81.310679611650485</v>
      </c>
    </row>
    <row r="34" spans="1:1" x14ac:dyDescent="0.3">
      <c r="A34">
        <f>thousand_movies_with_ratings!G34/thousand_movies_with_ratings!I34</f>
        <v>32.666666666666664</v>
      </c>
    </row>
    <row r="35" spans="1:1" x14ac:dyDescent="0.3">
      <c r="A35">
        <f>thousand_movies_with_ratings!G35/thousand_movies_with_ratings!I35</f>
        <v>23.353293413173652</v>
      </c>
    </row>
    <row r="36" spans="1:1" x14ac:dyDescent="0.3">
      <c r="A36">
        <f>thousand_movies_with_ratings!G36/thousand_movies_with_ratings!I36</f>
        <v>54.166666666666664</v>
      </c>
    </row>
    <row r="37" spans="1:1" x14ac:dyDescent="0.3">
      <c r="A37">
        <f>thousand_movies_with_ratings!G37/thousand_movies_with_ratings!I37</f>
        <v>78.888888888888886</v>
      </c>
    </row>
    <row r="38" spans="1:1" x14ac:dyDescent="0.3">
      <c r="A38">
        <f>thousand_movies_with_ratings!G38/thousand_movies_with_ratings!I38</f>
        <v>53.731343283582092</v>
      </c>
    </row>
    <row r="39" spans="1:1" x14ac:dyDescent="0.3">
      <c r="A39">
        <f>thousand_movies_with_ratings!G39/thousand_movies_with_ratings!I39</f>
        <v>39.296794208893488</v>
      </c>
    </row>
    <row r="40" spans="1:1" x14ac:dyDescent="0.3">
      <c r="A40">
        <f>thousand_movies_with_ratings!G40/thousand_movies_with_ratings!I40</f>
        <v>52.472250252270435</v>
      </c>
    </row>
    <row r="41" spans="1:1" x14ac:dyDescent="0.3">
      <c r="A41">
        <f>thousand_movies_with_ratings!G41/thousand_movies_with_ratings!I41</f>
        <v>44.041450777202073</v>
      </c>
    </row>
    <row r="42" spans="1:1" x14ac:dyDescent="0.3">
      <c r="A42">
        <f>thousand_movies_with_ratings!G42/thousand_movies_with_ratings!I42</f>
        <v>42.857142857142854</v>
      </c>
    </row>
    <row r="43" spans="1:1" x14ac:dyDescent="0.3">
      <c r="A43">
        <f>thousand_movies_with_ratings!G43/thousand_movies_with_ratings!I43</f>
        <v>23.779724655819773</v>
      </c>
    </row>
    <row r="44" spans="1:1" x14ac:dyDescent="0.3">
      <c r="A44">
        <f>thousand_movies_with_ratings!G44/thousand_movies_with_ratings!I44</f>
        <v>13.488372093023257</v>
      </c>
    </row>
    <row r="45" spans="1:1" x14ac:dyDescent="0.3">
      <c r="A45">
        <f>thousand_movies_with_ratings!G45/thousand_movies_with_ratings!I45</f>
        <v>35.725007505253679</v>
      </c>
    </row>
    <row r="46" spans="1:1" x14ac:dyDescent="0.3">
      <c r="A46">
        <f>thousand_movies_with_ratings!G46/thousand_movies_with_ratings!I46</f>
        <v>38.910505836575872</v>
      </c>
    </row>
    <row r="47" spans="1:1" x14ac:dyDescent="0.3">
      <c r="A47">
        <f>thousand_movies_with_ratings!G47/thousand_movies_with_ratings!I47</f>
        <v>61.25</v>
      </c>
    </row>
    <row r="48" spans="1:1" x14ac:dyDescent="0.3">
      <c r="A48">
        <f>thousand_movies_with_ratings!G48/thousand_movies_with_ratings!I48</f>
        <v>1.3317073170731708</v>
      </c>
    </row>
    <row r="49" spans="1:1" x14ac:dyDescent="0.3">
      <c r="A49">
        <f>thousand_movies_with_ratings!G49/thousand_movies_with_ratings!I49</f>
        <v>14.457831325301205</v>
      </c>
    </row>
    <row r="50" spans="1:1" x14ac:dyDescent="0.3">
      <c r="A50">
        <f>thousand_movies_with_ratings!G50/thousand_movies_with_ratings!I50</f>
        <v>35.282258064516128</v>
      </c>
    </row>
    <row r="51" spans="1:1" x14ac:dyDescent="0.3">
      <c r="A51">
        <f>thousand_movies_with_ratings!G51/thousand_movies_with_ratings!I51</f>
        <v>78.571428571428569</v>
      </c>
    </row>
    <row r="52" spans="1:1" x14ac:dyDescent="0.3">
      <c r="A52">
        <f>thousand_movies_with_ratings!G52/thousand_movies_with_ratings!I52</f>
        <v>56.385869565217391</v>
      </c>
    </row>
    <row r="53" spans="1:1" x14ac:dyDescent="0.3">
      <c r="A53">
        <f>thousand_movies_with_ratings!G53/thousand_movies_with_ratings!I53</f>
        <v>32.580136626379399</v>
      </c>
    </row>
    <row r="54" spans="1:1" x14ac:dyDescent="0.3">
      <c r="A54">
        <f>thousand_movies_with_ratings!G54/thousand_movies_with_ratings!I54</f>
        <v>23.655913978494624</v>
      </c>
    </row>
    <row r="55" spans="1:1" x14ac:dyDescent="0.3">
      <c r="A55">
        <f>thousand_movies_with_ratings!G55/thousand_movies_with_ratings!I55</f>
        <v>49.107142857142854</v>
      </c>
    </row>
    <row r="56" spans="1:1" x14ac:dyDescent="0.3">
      <c r="A56">
        <f>thousand_movies_with_ratings!G56/thousand_movies_with_ratings!I56</f>
        <v>30.76923076923077</v>
      </c>
    </row>
    <row r="57" spans="1:1" x14ac:dyDescent="0.3">
      <c r="A57">
        <f>thousand_movies_with_ratings!G57/thousand_movies_with_ratings!I57</f>
        <v>32.258064516129032</v>
      </c>
    </row>
    <row r="58" spans="1:1" x14ac:dyDescent="0.3">
      <c r="A58">
        <f>thousand_movies_with_ratings!G58/thousand_movies_with_ratings!I58</f>
        <v>41.772340742950917</v>
      </c>
    </row>
    <row r="59" spans="1:1" x14ac:dyDescent="0.3">
      <c r="A59">
        <f>thousand_movies_with_ratings!G59/thousand_movies_with_ratings!I59</f>
        <v>94.940662086196127</v>
      </c>
    </row>
    <row r="60" spans="1:1" x14ac:dyDescent="0.3">
      <c r="A60">
        <f>thousand_movies_with_ratings!G60/thousand_movies_with_ratings!I60</f>
        <v>10</v>
      </c>
    </row>
    <row r="61" spans="1:1" x14ac:dyDescent="0.3">
      <c r="A61">
        <f>thousand_movies_with_ratings!G61/thousand_movies_with_ratings!I61</f>
        <v>23.952095808383234</v>
      </c>
    </row>
    <row r="62" spans="1:1" x14ac:dyDescent="0.3">
      <c r="A62">
        <f>thousand_movies_with_ratings!G62/thousand_movies_with_ratings!I62</f>
        <v>24.78448275862069</v>
      </c>
    </row>
    <row r="63" spans="1:1" x14ac:dyDescent="0.3">
      <c r="A63">
        <f>thousand_movies_with_ratings!G63/thousand_movies_with_ratings!I63</f>
        <v>33.426183844011142</v>
      </c>
    </row>
    <row r="64" spans="1:1" x14ac:dyDescent="0.3">
      <c r="A64">
        <f>thousand_movies_with_ratings!G64/thousand_movies_with_ratings!I64</f>
        <v>33.333333333333336</v>
      </c>
    </row>
    <row r="65" spans="1:1" x14ac:dyDescent="0.3">
      <c r="A65">
        <f>thousand_movies_with_ratings!G65/thousand_movies_with_ratings!I65</f>
        <v>68.627450980392155</v>
      </c>
    </row>
    <row r="66" spans="1:1" x14ac:dyDescent="0.3">
      <c r="A66">
        <f>thousand_movies_with_ratings!G66/thousand_movies_with_ratings!I66</f>
        <v>16.666666666666668</v>
      </c>
    </row>
    <row r="67" spans="1:1" x14ac:dyDescent="0.3">
      <c r="A67">
        <f>thousand_movies_with_ratings!G67/thousand_movies_with_ratings!I67</f>
        <v>100</v>
      </c>
    </row>
    <row r="68" spans="1:1" x14ac:dyDescent="0.3">
      <c r="A68">
        <f>thousand_movies_with_ratings!G68/thousand_movies_with_ratings!I68</f>
        <v>40.915395284327325</v>
      </c>
    </row>
    <row r="69" spans="1:1" x14ac:dyDescent="0.3">
      <c r="A69">
        <f>thousand_movies_with_ratings!G69/thousand_movies_with_ratings!I69</f>
        <v>28.388888888888889</v>
      </c>
    </row>
    <row r="70" spans="1:1" x14ac:dyDescent="0.3">
      <c r="A70">
        <f>thousand_movies_with_ratings!G70/thousand_movies_with_ratings!I70</f>
        <v>52.215189873417721</v>
      </c>
    </row>
    <row r="71" spans="1:1" x14ac:dyDescent="0.3">
      <c r="A71">
        <f>thousand_movies_with_ratings!G71/thousand_movies_with_ratings!I71</f>
        <v>57.407407407407405</v>
      </c>
    </row>
    <row r="72" spans="1:1" x14ac:dyDescent="0.3">
      <c r="A72">
        <f>thousand_movies_with_ratings!G72/thousand_movies_with_ratings!I72</f>
        <v>21.205882352941178</v>
      </c>
    </row>
    <row r="73" spans="1:1" x14ac:dyDescent="0.3">
      <c r="A73">
        <f>thousand_movies_with_ratings!G73/thousand_movies_with_ratings!I73</f>
        <v>32.098765432098766</v>
      </c>
    </row>
    <row r="74" spans="1:1" x14ac:dyDescent="0.3">
      <c r="A74">
        <f>thousand_movies_with_ratings!G74/thousand_movies_with_ratings!I74</f>
        <v>27.027027027027028</v>
      </c>
    </row>
    <row r="75" spans="1:1" x14ac:dyDescent="0.3">
      <c r="A75">
        <f>thousand_movies_with_ratings!G75/thousand_movies_with_ratings!I75</f>
        <v>40.08810572687225</v>
      </c>
    </row>
    <row r="76" spans="1:1" x14ac:dyDescent="0.3">
      <c r="A76">
        <f>thousand_movies_with_ratings!G76/thousand_movies_with_ratings!I76</f>
        <v>18.518518518518519</v>
      </c>
    </row>
    <row r="77" spans="1:1" x14ac:dyDescent="0.3">
      <c r="A77">
        <f>thousand_movies_with_ratings!G77/thousand_movies_with_ratings!I77</f>
        <v>49.681528662420384</v>
      </c>
    </row>
    <row r="78" spans="1:1" x14ac:dyDescent="0.3">
      <c r="A78">
        <f>thousand_movies_with_ratings!G78/thousand_movies_with_ratings!I78</f>
        <v>21.194605009633911</v>
      </c>
    </row>
    <row r="79" spans="1:1" x14ac:dyDescent="0.3">
      <c r="A79">
        <f>thousand_movies_with_ratings!G79/thousand_movies_with_ratings!I79</f>
        <v>95.285714285714292</v>
      </c>
    </row>
    <row r="80" spans="1:1" x14ac:dyDescent="0.3">
      <c r="A80">
        <f>thousand_movies_with_ratings!G80/thousand_movies_with_ratings!I80</f>
        <v>30.448717948717949</v>
      </c>
    </row>
    <row r="81" spans="1:1" x14ac:dyDescent="0.3">
      <c r="A81">
        <f>thousand_movies_with_ratings!G81/thousand_movies_with_ratings!I81</f>
        <v>72.58064516129032</v>
      </c>
    </row>
    <row r="82" spans="1:1" x14ac:dyDescent="0.3">
      <c r="A82">
        <f>thousand_movies_with_ratings!G82/thousand_movies_with_ratings!I82</f>
        <v>61.29032258064516</v>
      </c>
    </row>
    <row r="83" spans="1:1" x14ac:dyDescent="0.3">
      <c r="A83">
        <f>thousand_movies_with_ratings!G83/thousand_movies_with_ratings!I83</f>
        <v>21.113243761996163</v>
      </c>
    </row>
    <row r="84" spans="1:1" x14ac:dyDescent="0.3">
      <c r="A84">
        <f>thousand_movies_with_ratings!G84/thousand_movies_with_ratings!I84</f>
        <v>21.534883720930232</v>
      </c>
    </row>
    <row r="85" spans="1:1" x14ac:dyDescent="0.3">
      <c r="A85">
        <f>thousand_movies_with_ratings!G85/thousand_movies_with_ratings!I85</f>
        <v>36.692307692307693</v>
      </c>
    </row>
    <row r="86" spans="1:1" x14ac:dyDescent="0.3">
      <c r="A86">
        <f>thousand_movies_with_ratings!G86/thousand_movies_with_ratings!I86</f>
        <v>69.721115537848604</v>
      </c>
    </row>
    <row r="87" spans="1:1" x14ac:dyDescent="0.3">
      <c r="A87">
        <f>thousand_movies_with_ratings!G87/thousand_movies_with_ratings!I87</f>
        <v>57.731958762886599</v>
      </c>
    </row>
    <row r="88" spans="1:1" x14ac:dyDescent="0.3">
      <c r="A88">
        <f>thousand_movies_with_ratings!G88/thousand_movies_with_ratings!I88</f>
        <v>54.510058403634005</v>
      </c>
    </row>
    <row r="89" spans="1:1" x14ac:dyDescent="0.3">
      <c r="A89">
        <f>thousand_movies_with_ratings!G89/thousand_movies_with_ratings!I89</f>
        <v>66.666666666666671</v>
      </c>
    </row>
    <row r="90" spans="1:1" x14ac:dyDescent="0.3">
      <c r="A90">
        <f>thousand_movies_with_ratings!G90/thousand_movies_with_ratings!I90</f>
        <v>67.073170731707322</v>
      </c>
    </row>
    <row r="91" spans="1:1" x14ac:dyDescent="0.3">
      <c r="A91">
        <f>thousand_movies_with_ratings!G91/thousand_movies_with_ratings!I91</f>
        <v>64.197530864197532</v>
      </c>
    </row>
    <row r="92" spans="1:1" x14ac:dyDescent="0.3">
      <c r="A92">
        <f>thousand_movies_with_ratings!G92/thousand_movies_with_ratings!I92</f>
        <v>38.095238095238095</v>
      </c>
    </row>
    <row r="93" spans="1:1" x14ac:dyDescent="0.3">
      <c r="A93">
        <f>thousand_movies_with_ratings!G93/thousand_movies_with_ratings!I93</f>
        <v>33.854166666666664</v>
      </c>
    </row>
    <row r="94" spans="1:1" x14ac:dyDescent="0.3">
      <c r="A94">
        <f>thousand_movies_with_ratings!G94/thousand_movies_with_ratings!I94</f>
        <v>56.265984654731454</v>
      </c>
    </row>
    <row r="95" spans="1:1" x14ac:dyDescent="0.3">
      <c r="A95">
        <f>thousand_movies_with_ratings!G95/thousand_movies_with_ratings!I95</f>
        <v>27.096774193548388</v>
      </c>
    </row>
    <row r="96" spans="1:1" x14ac:dyDescent="0.3">
      <c r="A96">
        <f>thousand_movies_with_ratings!G96/thousand_movies_with_ratings!I96</f>
        <v>102.77777777777777</v>
      </c>
    </row>
    <row r="97" spans="1:1" x14ac:dyDescent="0.3">
      <c r="A97">
        <f>thousand_movies_with_ratings!G97/thousand_movies_with_ratings!I97</f>
        <v>76.92307692307692</v>
      </c>
    </row>
    <row r="98" spans="1:1" x14ac:dyDescent="0.3">
      <c r="A98">
        <f>thousand_movies_with_ratings!G98/thousand_movies_with_ratings!I98</f>
        <v>108.33333333333333</v>
      </c>
    </row>
    <row r="99" spans="1:1" x14ac:dyDescent="0.3">
      <c r="A99">
        <f>thousand_movies_with_ratings!G99/thousand_movies_with_ratings!I99</f>
        <v>65.040650406504071</v>
      </c>
    </row>
    <row r="100" spans="1:1" x14ac:dyDescent="0.3">
      <c r="A100">
        <f>thousand_movies_with_ratings!G100/thousand_movies_with_ratings!I100</f>
        <v>85</v>
      </c>
    </row>
    <row r="101" spans="1:1" x14ac:dyDescent="0.3">
      <c r="A101">
        <f>thousand_movies_with_ratings!G101/thousand_movies_with_ratings!I101</f>
        <v>45.321637426900587</v>
      </c>
    </row>
    <row r="102" spans="1:1" x14ac:dyDescent="0.3">
      <c r="A102">
        <f>thousand_movies_with_ratings!G102/thousand_movies_with_ratings!I102</f>
        <v>28.268551236749115</v>
      </c>
    </row>
    <row r="103" spans="1:1" x14ac:dyDescent="0.3">
      <c r="A103">
        <f>thousand_movies_with_ratings!G103/thousand_movies_with_ratings!I103</f>
        <v>28.953229398663698</v>
      </c>
    </row>
    <row r="104" spans="1:1" x14ac:dyDescent="0.3">
      <c r="A104">
        <f>thousand_movies_with_ratings!G104/thousand_movies_with_ratings!I104</f>
        <v>22.992700729927009</v>
      </c>
    </row>
    <row r="105" spans="1:1" x14ac:dyDescent="0.3">
      <c r="A105">
        <f>thousand_movies_with_ratings!G105/thousand_movies_with_ratings!I105</f>
        <v>90.909090909090907</v>
      </c>
    </row>
    <row r="106" spans="1:1" x14ac:dyDescent="0.3">
      <c r="A106">
        <f>thousand_movies_with_ratings!G106/thousand_movies_with_ratings!I106</f>
        <v>22.448979591836736</v>
      </c>
    </row>
    <row r="107" spans="1:1" x14ac:dyDescent="0.3">
      <c r="A107">
        <f>thousand_movies_with_ratings!G107/thousand_movies_with_ratings!I107</f>
        <v>26.101694915254239</v>
      </c>
    </row>
    <row r="108" spans="1:1" x14ac:dyDescent="0.3">
      <c r="A108">
        <f>thousand_movies_with_ratings!G108/thousand_movies_with_ratings!I108</f>
        <v>61.594202898550726</v>
      </c>
    </row>
    <row r="109" spans="1:1" x14ac:dyDescent="0.3">
      <c r="A109">
        <f>thousand_movies_with_ratings!G109/thousand_movies_with_ratings!I109</f>
        <v>51.724137931034484</v>
      </c>
    </row>
    <row r="110" spans="1:1" x14ac:dyDescent="0.3">
      <c r="A110">
        <f>thousand_movies_with_ratings!G110/thousand_movies_with_ratings!I110</f>
        <v>53.412462908011868</v>
      </c>
    </row>
    <row r="111" spans="1:1" x14ac:dyDescent="0.3">
      <c r="A111">
        <f>thousand_movies_with_ratings!G111/thousand_movies_with_ratings!I111</f>
        <v>41.407867494824018</v>
      </c>
    </row>
    <row r="112" spans="1:1" x14ac:dyDescent="0.3">
      <c r="A112">
        <f>thousand_movies_with_ratings!G112/thousand_movies_with_ratings!I112</f>
        <v>58.909444985394352</v>
      </c>
    </row>
    <row r="113" spans="1:1" x14ac:dyDescent="0.3">
      <c r="A113">
        <f>thousand_movies_with_ratings!G113/thousand_movies_with_ratings!I113</f>
        <v>44.973544973544975</v>
      </c>
    </row>
    <row r="114" spans="1:1" x14ac:dyDescent="0.3">
      <c r="A114">
        <f>thousand_movies_with_ratings!G114/thousand_movies_with_ratings!I114</f>
        <v>39.76608187134503</v>
      </c>
    </row>
    <row r="115" spans="1:1" x14ac:dyDescent="0.3">
      <c r="A115">
        <f>thousand_movies_with_ratings!G115/thousand_movies_with_ratings!I115</f>
        <v>64.55399061032864</v>
      </c>
    </row>
    <row r="116" spans="1:1" x14ac:dyDescent="0.3">
      <c r="A116">
        <f>thousand_movies_with_ratings!G116/thousand_movies_with_ratings!I116</f>
        <v>80.375356997144024</v>
      </c>
    </row>
    <row r="117" spans="1:1" x14ac:dyDescent="0.3">
      <c r="A117">
        <f>thousand_movies_with_ratings!G117/thousand_movies_with_ratings!I117</f>
        <v>56.838365896980463</v>
      </c>
    </row>
    <row r="118" spans="1:1" x14ac:dyDescent="0.3">
      <c r="A118">
        <f>thousand_movies_with_ratings!G118/thousand_movies_with_ratings!I118</f>
        <v>63.157894736842103</v>
      </c>
    </row>
    <row r="119" spans="1:1" x14ac:dyDescent="0.3">
      <c r="A119">
        <f>thousand_movies_with_ratings!G119/thousand_movies_with_ratings!I119</f>
        <v>44.077134986225893</v>
      </c>
    </row>
    <row r="120" spans="1:1" x14ac:dyDescent="0.3">
      <c r="A120">
        <f>thousand_movies_with_ratings!G120/thousand_movies_with_ratings!I120</f>
        <v>32.967032967032964</v>
      </c>
    </row>
    <row r="121" spans="1:1" x14ac:dyDescent="0.3">
      <c r="A121">
        <f>thousand_movies_with_ratings!G121/thousand_movies_with_ratings!I121</f>
        <v>55.479452054794521</v>
      </c>
    </row>
    <row r="122" spans="1:1" x14ac:dyDescent="0.3">
      <c r="A122">
        <f>thousand_movies_with_ratings!G122/thousand_movies_with_ratings!I122</f>
        <v>56</v>
      </c>
    </row>
    <row r="123" spans="1:1" x14ac:dyDescent="0.3">
      <c r="A123">
        <f>thousand_movies_with_ratings!G123/thousand_movies_with_ratings!I123</f>
        <v>20.550847457627118</v>
      </c>
    </row>
    <row r="124" spans="1:1" x14ac:dyDescent="0.3">
      <c r="A124">
        <f>thousand_movies_with_ratings!G124/thousand_movies_with_ratings!I124</f>
        <v>21.486123545210386</v>
      </c>
    </row>
    <row r="125" spans="1:1" x14ac:dyDescent="0.3">
      <c r="A125">
        <f>thousand_movies_with_ratings!G125/thousand_movies_with_ratings!I125</f>
        <v>46.846846846846844</v>
      </c>
    </row>
    <row r="126" spans="1:1" x14ac:dyDescent="0.3">
      <c r="A126">
        <f>thousand_movies_with_ratings!G126/thousand_movies_with_ratings!I126</f>
        <v>42.035398230088497</v>
      </c>
    </row>
    <row r="127" spans="1:1" x14ac:dyDescent="0.3">
      <c r="A127">
        <f>thousand_movies_with_ratings!G127/thousand_movies_with_ratings!I127</f>
        <v>41.53846153846154</v>
      </c>
    </row>
    <row r="128" spans="1:1" x14ac:dyDescent="0.3">
      <c r="A128">
        <f>thousand_movies_with_ratings!G128/thousand_movies_with_ratings!I128</f>
        <v>41.899441340782126</v>
      </c>
    </row>
    <row r="129" spans="1:1" x14ac:dyDescent="0.3">
      <c r="A129">
        <f>thousand_movies_with_ratings!G129/thousand_movies_with_ratings!I129</f>
        <v>9.353741496598639</v>
      </c>
    </row>
    <row r="130" spans="1:1" x14ac:dyDescent="0.3">
      <c r="A130">
        <f>thousand_movies_with_ratings!G130/thousand_movies_with_ratings!I130</f>
        <v>61.111111111111114</v>
      </c>
    </row>
    <row r="131" spans="1:1" x14ac:dyDescent="0.3">
      <c r="A131">
        <f>thousand_movies_with_ratings!G131/thousand_movies_with_ratings!I131</f>
        <v>58.045554739162384</v>
      </c>
    </row>
    <row r="132" spans="1:1" x14ac:dyDescent="0.3">
      <c r="A132">
        <f>thousand_movies_with_ratings!G132/thousand_movies_with_ratings!I132</f>
        <v>54.66970387243736</v>
      </c>
    </row>
    <row r="133" spans="1:1" x14ac:dyDescent="0.3">
      <c r="A133">
        <f>thousand_movies_with_ratings!G133/thousand_movies_with_ratings!I133</f>
        <v>66.666666666666671</v>
      </c>
    </row>
    <row r="134" spans="1:1" x14ac:dyDescent="0.3">
      <c r="A134">
        <f>thousand_movies_with_ratings!G134/thousand_movies_with_ratings!I134</f>
        <v>53.547523427041497</v>
      </c>
    </row>
    <row r="135" spans="1:1" x14ac:dyDescent="0.3">
      <c r="A135">
        <f>thousand_movies_with_ratings!G135/thousand_movies_with_ratings!I135</f>
        <v>17.741935483870968</v>
      </c>
    </row>
    <row r="136" spans="1:1" x14ac:dyDescent="0.3">
      <c r="A136">
        <f>thousand_movies_with_ratings!G136/thousand_movies_with_ratings!I136</f>
        <v>53.250773993808046</v>
      </c>
    </row>
    <row r="137" spans="1:1" x14ac:dyDescent="0.3">
      <c r="A137">
        <f>thousand_movies_with_ratings!G137/thousand_movies_with_ratings!I137</f>
        <v>30.042918454935624</v>
      </c>
    </row>
    <row r="138" spans="1:1" x14ac:dyDescent="0.3">
      <c r="A138">
        <f>thousand_movies_with_ratings!G138/thousand_movies_with_ratings!I138</f>
        <v>70.422535211267601</v>
      </c>
    </row>
    <row r="139" spans="1:1" x14ac:dyDescent="0.3">
      <c r="A139">
        <f>thousand_movies_with_ratings!G139/thousand_movies_with_ratings!I139</f>
        <v>42.987641053197208</v>
      </c>
    </row>
    <row r="140" spans="1:1" x14ac:dyDescent="0.3">
      <c r="A140">
        <f>thousand_movies_with_ratings!G140/thousand_movies_with_ratings!I140</f>
        <v>35.935085007727977</v>
      </c>
    </row>
    <row r="141" spans="1:1" x14ac:dyDescent="0.3">
      <c r="A141">
        <f>thousand_movies_with_ratings!G141/thousand_movies_with_ratings!I141</f>
        <v>13.253012048192771</v>
      </c>
    </row>
    <row r="142" spans="1:1" x14ac:dyDescent="0.3">
      <c r="A142">
        <f>thousand_movies_with_ratings!G142/thousand_movies_with_ratings!I142</f>
        <v>35.410764872521248</v>
      </c>
    </row>
    <row r="143" spans="1:1" x14ac:dyDescent="0.3">
      <c r="A143">
        <f>thousand_movies_with_ratings!G143/thousand_movies_with_ratings!I143</f>
        <v>19.851116625310173</v>
      </c>
    </row>
    <row r="144" spans="1:1" x14ac:dyDescent="0.3">
      <c r="A144">
        <f>thousand_movies_with_ratings!G144/thousand_movies_with_ratings!I144</f>
        <v>55.952380952380949</v>
      </c>
    </row>
    <row r="145" spans="1:1" x14ac:dyDescent="0.3">
      <c r="A145">
        <f>thousand_movies_with_ratings!G145/thousand_movies_with_ratings!I145</f>
        <v>36.44859813084112</v>
      </c>
    </row>
    <row r="146" spans="1:1" x14ac:dyDescent="0.3">
      <c r="A146">
        <f>thousand_movies_with_ratings!G146/thousand_movies_with_ratings!I146</f>
        <v>38.554216867469883</v>
      </c>
    </row>
    <row r="147" spans="1:1" x14ac:dyDescent="0.3">
      <c r="A147">
        <f>thousand_movies_with_ratings!G147/thousand_movies_with_ratings!I147</f>
        <v>62.360801781737194</v>
      </c>
    </row>
    <row r="148" spans="1:1" x14ac:dyDescent="0.3">
      <c r="A148">
        <f>thousand_movies_with_ratings!G148/thousand_movies_with_ratings!I148</f>
        <v>83.484573502722327</v>
      </c>
    </row>
    <row r="149" spans="1:1" x14ac:dyDescent="0.3">
      <c r="A149">
        <f>thousand_movies_with_ratings!G149/thousand_movies_with_ratings!I149</f>
        <v>72.691552062868368</v>
      </c>
    </row>
    <row r="150" spans="1:1" x14ac:dyDescent="0.3">
      <c r="A150">
        <f>thousand_movies_with_ratings!G150/thousand_movies_with_ratings!I150</f>
        <v>51.359516616314203</v>
      </c>
    </row>
    <row r="151" spans="1:1" x14ac:dyDescent="0.3">
      <c r="A151">
        <f>thousand_movies_with_ratings!G151/thousand_movies_with_ratings!I151</f>
        <v>46.384720327421554</v>
      </c>
    </row>
    <row r="152" spans="1:1" x14ac:dyDescent="0.3">
      <c r="A152">
        <f>thousand_movies_with_ratings!G152/thousand_movies_with_ratings!I152</f>
        <v>85</v>
      </c>
    </row>
    <row r="153" spans="1:1" x14ac:dyDescent="0.3">
      <c r="A153">
        <f>thousand_movies_with_ratings!G153/thousand_movies_with_ratings!I153</f>
        <v>100</v>
      </c>
    </row>
    <row r="154" spans="1:1" x14ac:dyDescent="0.3">
      <c r="A154">
        <f>thousand_movies_with_ratings!G154/thousand_movies_with_ratings!I154</f>
        <v>70.98392641456843</v>
      </c>
    </row>
    <row r="155" spans="1:1" x14ac:dyDescent="0.3">
      <c r="A155">
        <f>thousand_movies_with_ratings!G155/thousand_movies_with_ratings!I155</f>
        <v>112.81070745697897</v>
      </c>
    </row>
    <row r="156" spans="1:1" x14ac:dyDescent="0.3">
      <c r="A156">
        <f>thousand_movies_with_ratings!G156/thousand_movies_with_ratings!I156</f>
        <v>86.956521739130437</v>
      </c>
    </row>
    <row r="157" spans="1:1" x14ac:dyDescent="0.3">
      <c r="A157">
        <f>thousand_movies_with_ratings!G157/thousand_movies_with_ratings!I157</f>
        <v>36.363636363636367</v>
      </c>
    </row>
    <row r="158" spans="1:1" x14ac:dyDescent="0.3">
      <c r="A158">
        <f>thousand_movies_with_ratings!G158/thousand_movies_with_ratings!I158</f>
        <v>3.6018518518518516</v>
      </c>
    </row>
    <row r="159" spans="1:1" x14ac:dyDescent="0.3">
      <c r="A159">
        <f>thousand_movies_with_ratings!G159/thousand_movies_with_ratings!I159</f>
        <v>30.519480519480521</v>
      </c>
    </row>
    <row r="160" spans="1:1" x14ac:dyDescent="0.3">
      <c r="A160">
        <f>thousand_movies_with_ratings!G160/thousand_movies_with_ratings!I160</f>
        <v>40.74074074074074</v>
      </c>
    </row>
    <row r="161" spans="1:1" x14ac:dyDescent="0.3">
      <c r="A161">
        <f>thousand_movies_with_ratings!G161/thousand_movies_with_ratings!I161</f>
        <v>21.276595744680851</v>
      </c>
    </row>
    <row r="162" spans="1:1" x14ac:dyDescent="0.3">
      <c r="A162">
        <f>thousand_movies_with_ratings!G162/thousand_movies_with_ratings!I162</f>
        <v>54.430379746835442</v>
      </c>
    </row>
    <row r="163" spans="1:1" x14ac:dyDescent="0.3">
      <c r="A163">
        <f>thousand_movies_with_ratings!G163/thousand_movies_with_ratings!I163</f>
        <v>70.89084065244667</v>
      </c>
    </row>
    <row r="164" spans="1:1" x14ac:dyDescent="0.3">
      <c r="A164">
        <f>thousand_movies_with_ratings!G164/thousand_movies_with_ratings!I164</f>
        <v>21.201413427561839</v>
      </c>
    </row>
    <row r="165" spans="1:1" x14ac:dyDescent="0.3">
      <c r="A165">
        <f>thousand_movies_with_ratings!G165/thousand_movies_with_ratings!I165</f>
        <v>30.575539568345324</v>
      </c>
    </row>
    <row r="166" spans="1:1" x14ac:dyDescent="0.3">
      <c r="A166">
        <f>thousand_movies_with_ratings!G166/thousand_movies_with_ratings!I166</f>
        <v>82.352941176470594</v>
      </c>
    </row>
    <row r="167" spans="1:1" x14ac:dyDescent="0.3">
      <c r="A167">
        <f>thousand_movies_with_ratings!G167/thousand_movies_with_ratings!I167</f>
        <v>45.614035087719301</v>
      </c>
    </row>
    <row r="168" spans="1:1" x14ac:dyDescent="0.3">
      <c r="A168">
        <f>thousand_movies_with_ratings!G168/thousand_movies_with_ratings!I168</f>
        <v>46.035805626598467</v>
      </c>
    </row>
    <row r="169" spans="1:1" x14ac:dyDescent="0.3">
      <c r="A169">
        <f>thousand_movies_with_ratings!G169/thousand_movies_with_ratings!I169</f>
        <v>61.728395061728392</v>
      </c>
    </row>
    <row r="170" spans="1:1" x14ac:dyDescent="0.3">
      <c r="A170">
        <f>thousand_movies_with_ratings!G170/thousand_movies_with_ratings!I170</f>
        <v>65.8709106984969</v>
      </c>
    </row>
    <row r="171" spans="1:1" x14ac:dyDescent="0.3">
      <c r="A171">
        <f>thousand_movies_with_ratings!G171/thousand_movies_with_ratings!I171</f>
        <v>52.575488454706928</v>
      </c>
    </row>
    <row r="172" spans="1:1" x14ac:dyDescent="0.3">
      <c r="A172">
        <f>thousand_movies_with_ratings!G172/thousand_movies_with_ratings!I172</f>
        <v>37.463976945244958</v>
      </c>
    </row>
    <row r="173" spans="1:1" x14ac:dyDescent="0.3">
      <c r="A173">
        <f>thousand_movies_with_ratings!G173/thousand_movies_with_ratings!I173</f>
        <v>59.782608695652172</v>
      </c>
    </row>
    <row r="174" spans="1:1" x14ac:dyDescent="0.3">
      <c r="A174">
        <f>thousand_movies_with_ratings!G174/thousand_movies_with_ratings!I174</f>
        <v>54.375</v>
      </c>
    </row>
    <row r="175" spans="1:1" x14ac:dyDescent="0.3">
      <c r="A175">
        <f>thousand_movies_with_ratings!G175/thousand_movies_with_ratings!I175</f>
        <v>54.6875</v>
      </c>
    </row>
    <row r="176" spans="1:1" x14ac:dyDescent="0.3">
      <c r="A176">
        <f>thousand_movies_with_ratings!G176/thousand_movies_with_ratings!I176</f>
        <v>28.712871287128714</v>
      </c>
    </row>
    <row r="177" spans="1:1" x14ac:dyDescent="0.3">
      <c r="A177">
        <f>thousand_movies_with_ratings!G177/thousand_movies_with_ratings!I177</f>
        <v>50</v>
      </c>
    </row>
    <row r="178" spans="1:1" x14ac:dyDescent="0.3">
      <c r="A178">
        <f>thousand_movies_with_ratings!G178/thousand_movies_with_ratings!I178</f>
        <v>5.6818181818181817</v>
      </c>
    </row>
    <row r="179" spans="1:1" x14ac:dyDescent="0.3">
      <c r="A179">
        <f>thousand_movies_with_ratings!G179/thousand_movies_with_ratings!I179</f>
        <v>28.566451837658946</v>
      </c>
    </row>
    <row r="180" spans="1:1" x14ac:dyDescent="0.3">
      <c r="A180">
        <f>thousand_movies_with_ratings!G180/thousand_movies_with_ratings!I180</f>
        <v>10.303030303030303</v>
      </c>
    </row>
    <row r="181" spans="1:1" x14ac:dyDescent="0.3">
      <c r="A181">
        <f>thousand_movies_with_ratings!G181/thousand_movies_with_ratings!I181</f>
        <v>19.101123595505619</v>
      </c>
    </row>
    <row r="182" spans="1:1" x14ac:dyDescent="0.3">
      <c r="A182">
        <f>thousand_movies_with_ratings!G182/thousand_movies_with_ratings!I182</f>
        <v>31.598513011152416</v>
      </c>
    </row>
    <row r="183" spans="1:1" x14ac:dyDescent="0.3">
      <c r="A183">
        <f>thousand_movies_with_ratings!G183/thousand_movies_with_ratings!I183</f>
        <v>28.8135593220339</v>
      </c>
    </row>
    <row r="184" spans="1:1" x14ac:dyDescent="0.3">
      <c r="A184">
        <f>thousand_movies_with_ratings!G184/thousand_movies_with_ratings!I184</f>
        <v>30.735930735930737</v>
      </c>
    </row>
    <row r="185" spans="1:1" x14ac:dyDescent="0.3">
      <c r="A185">
        <f>thousand_movies_with_ratings!G185/thousand_movies_with_ratings!I185</f>
        <v>47.826086956521742</v>
      </c>
    </row>
    <row r="186" spans="1:1" x14ac:dyDescent="0.3">
      <c r="A186">
        <f>thousand_movies_with_ratings!G186/thousand_movies_with_ratings!I186</f>
        <v>33.833333333333336</v>
      </c>
    </row>
    <row r="187" spans="1:1" x14ac:dyDescent="0.3">
      <c r="A187">
        <f>thousand_movies_with_ratings!G187/thousand_movies_with_ratings!I187</f>
        <v>59.637912673056441</v>
      </c>
    </row>
    <row r="188" spans="1:1" x14ac:dyDescent="0.3">
      <c r="A188">
        <f>thousand_movies_with_ratings!G188/thousand_movies_with_ratings!I188</f>
        <v>10.662358642972537</v>
      </c>
    </row>
    <row r="189" spans="1:1" x14ac:dyDescent="0.3">
      <c r="A189">
        <f>thousand_movies_with_ratings!G189/thousand_movies_with_ratings!I189</f>
        <v>38.255033557046978</v>
      </c>
    </row>
    <row r="190" spans="1:1" x14ac:dyDescent="0.3">
      <c r="A190">
        <f>thousand_movies_with_ratings!G190/thousand_movies_with_ratings!I190</f>
        <v>30.172413793103448</v>
      </c>
    </row>
    <row r="191" spans="1:1" x14ac:dyDescent="0.3">
      <c r="A191">
        <f>thousand_movies_with_ratings!G191/thousand_movies_with_ratings!I191</f>
        <v>40.54054054054054</v>
      </c>
    </row>
    <row r="192" spans="1:1" x14ac:dyDescent="0.3">
      <c r="A192">
        <f>thousand_movies_with_ratings!G192/thousand_movies_with_ratings!I192</f>
        <v>87.912087912087912</v>
      </c>
    </row>
    <row r="193" spans="1:1" x14ac:dyDescent="0.3">
      <c r="A193">
        <f>thousand_movies_with_ratings!G193/thousand_movies_with_ratings!I193</f>
        <v>52.173913043478258</v>
      </c>
    </row>
    <row r="194" spans="1:1" x14ac:dyDescent="0.3">
      <c r="A194">
        <f>thousand_movies_with_ratings!G194/thousand_movies_with_ratings!I194</f>
        <v>61.946902654867259</v>
      </c>
    </row>
    <row r="195" spans="1:1" x14ac:dyDescent="0.3">
      <c r="A195">
        <f>thousand_movies_with_ratings!G195/thousand_movies_with_ratings!I195</f>
        <v>42.857142857142854</v>
      </c>
    </row>
    <row r="196" spans="1:1" x14ac:dyDescent="0.3">
      <c r="A196">
        <f>thousand_movies_with_ratings!G196/thousand_movies_with_ratings!I196</f>
        <v>44.293015332197612</v>
      </c>
    </row>
    <row r="197" spans="1:1" x14ac:dyDescent="0.3">
      <c r="A197">
        <f>thousand_movies_with_ratings!G197/thousand_movies_with_ratings!I197</f>
        <v>62.068965517241381</v>
      </c>
    </row>
    <row r="198" spans="1:1" x14ac:dyDescent="0.3">
      <c r="A198">
        <f>thousand_movies_with_ratings!G198/thousand_movies_with_ratings!I198</f>
        <v>33.501440922190199</v>
      </c>
    </row>
    <row r="199" spans="1:1" x14ac:dyDescent="0.3">
      <c r="A199">
        <f>thousand_movies_with_ratings!G199/thousand_movies_with_ratings!I199</f>
        <v>14.427860696517413</v>
      </c>
    </row>
    <row r="200" spans="1:1" x14ac:dyDescent="0.3">
      <c r="A200">
        <f>thousand_movies_with_ratings!G200/thousand_movies_with_ratings!I200</f>
        <v>47.539936102236425</v>
      </c>
    </row>
    <row r="201" spans="1:1" x14ac:dyDescent="0.3">
      <c r="A201">
        <f>thousand_movies_with_ratings!G201/thousand_movies_with_ratings!I201</f>
        <v>33.804022250748822</v>
      </c>
    </row>
    <row r="202" spans="1:1" x14ac:dyDescent="0.3">
      <c r="A202">
        <f>thousand_movies_with_ratings!G202/thousand_movies_with_ratings!I202</f>
        <v>32.291940141769494</v>
      </c>
    </row>
    <row r="203" spans="1:1" x14ac:dyDescent="0.3">
      <c r="A203">
        <f>thousand_movies_with_ratings!G203/thousand_movies_with_ratings!I203</f>
        <v>68.686868686868692</v>
      </c>
    </row>
    <row r="204" spans="1:1" x14ac:dyDescent="0.3">
      <c r="A204">
        <f>thousand_movies_with_ratings!G204/thousand_movies_with_ratings!I204</f>
        <v>36.948748510131111</v>
      </c>
    </row>
    <row r="205" spans="1:1" x14ac:dyDescent="0.3">
      <c r="A205">
        <f>thousand_movies_with_ratings!G205/thousand_movies_with_ratings!I205</f>
        <v>62.883435582822088</v>
      </c>
    </row>
    <row r="206" spans="1:1" x14ac:dyDescent="0.3">
      <c r="A206">
        <f>thousand_movies_with_ratings!G206/thousand_movies_with_ratings!I206</f>
        <v>55.07868383404864</v>
      </c>
    </row>
    <row r="207" spans="1:1" x14ac:dyDescent="0.3">
      <c r="A207">
        <f>thousand_movies_with_ratings!G207/thousand_movies_with_ratings!I207</f>
        <v>35.315985130111521</v>
      </c>
    </row>
    <row r="208" spans="1:1" x14ac:dyDescent="0.3">
      <c r="A208">
        <f>thousand_movies_with_ratings!G208/thousand_movies_with_ratings!I208</f>
        <v>54.945054945054942</v>
      </c>
    </row>
    <row r="209" spans="1:1" x14ac:dyDescent="0.3">
      <c r="A209">
        <f>thousand_movies_with_ratings!G209/thousand_movies_with_ratings!I209</f>
        <v>52.793439261916966</v>
      </c>
    </row>
    <row r="210" spans="1:1" x14ac:dyDescent="0.3">
      <c r="A210">
        <f>thousand_movies_with_ratings!G210/thousand_movies_with_ratings!I210</f>
        <v>45.560747663551403</v>
      </c>
    </row>
    <row r="211" spans="1:1" x14ac:dyDescent="0.3">
      <c r="A211">
        <f>thousand_movies_with_ratings!G211/thousand_movies_with_ratings!I211</f>
        <v>26.986506746626688</v>
      </c>
    </row>
    <row r="212" spans="1:1" x14ac:dyDescent="0.3">
      <c r="A212">
        <f>thousand_movies_with_ratings!G212/thousand_movies_with_ratings!I212</f>
        <v>60</v>
      </c>
    </row>
    <row r="213" spans="1:1" x14ac:dyDescent="0.3">
      <c r="A213">
        <f>thousand_movies_with_ratings!G213/thousand_movies_with_ratings!I213</f>
        <v>30.41307308216069</v>
      </c>
    </row>
    <row r="214" spans="1:1" x14ac:dyDescent="0.3">
      <c r="A214">
        <f>thousand_movies_with_ratings!G214/thousand_movies_with_ratings!I214</f>
        <v>44.887780548628427</v>
      </c>
    </row>
    <row r="215" spans="1:1" x14ac:dyDescent="0.3">
      <c r="A215">
        <f>thousand_movies_with_ratings!G215/thousand_movies_with_ratings!I215</f>
        <v>32.352941176470587</v>
      </c>
    </row>
    <row r="216" spans="1:1" x14ac:dyDescent="0.3">
      <c r="A216">
        <f>thousand_movies_with_ratings!G216/thousand_movies_with_ratings!I216</f>
        <v>38.46153846153846</v>
      </c>
    </row>
    <row r="217" spans="1:1" x14ac:dyDescent="0.3">
      <c r="A217">
        <f>thousand_movies_with_ratings!G217/thousand_movies_with_ratings!I217</f>
        <v>52.58033106134372</v>
      </c>
    </row>
    <row r="218" spans="1:1" x14ac:dyDescent="0.3">
      <c r="A218">
        <f>thousand_movies_with_ratings!G218/thousand_movies_with_ratings!I218</f>
        <v>40.307101727447218</v>
      </c>
    </row>
    <row r="219" spans="1:1" x14ac:dyDescent="0.3">
      <c r="A219">
        <f>thousand_movies_with_ratings!G219/thousand_movies_with_ratings!I219</f>
        <v>40.926873307252485</v>
      </c>
    </row>
    <row r="220" spans="1:1" x14ac:dyDescent="0.3">
      <c r="A220">
        <f>thousand_movies_with_ratings!G220/thousand_movies_with_ratings!I220</f>
        <v>65.882352941176464</v>
      </c>
    </row>
    <row r="221" spans="1:1" x14ac:dyDescent="0.3">
      <c r="A221">
        <f>thousand_movies_with_ratings!G221/thousand_movies_with_ratings!I221</f>
        <v>12.012987012987013</v>
      </c>
    </row>
    <row r="222" spans="1:1" x14ac:dyDescent="0.3">
      <c r="A222">
        <f>thousand_movies_with_ratings!G222/thousand_movies_with_ratings!I222</f>
        <v>48.18181818181818</v>
      </c>
    </row>
    <row r="223" spans="1:1" x14ac:dyDescent="0.3">
      <c r="A223">
        <f>thousand_movies_with_ratings!G223/thousand_movies_with_ratings!I223</f>
        <v>51.764705882352942</v>
      </c>
    </row>
    <row r="224" spans="1:1" x14ac:dyDescent="0.3">
      <c r="A224">
        <f>thousand_movies_with_ratings!G224/thousand_movies_with_ratings!I224</f>
        <v>84.291187739463595</v>
      </c>
    </row>
    <row r="225" spans="1:1" x14ac:dyDescent="0.3">
      <c r="A225">
        <f>thousand_movies_with_ratings!G225/thousand_movies_with_ratings!I225</f>
        <v>68.634686346863475</v>
      </c>
    </row>
    <row r="226" spans="1:1" x14ac:dyDescent="0.3">
      <c r="A226">
        <f>thousand_movies_with_ratings!G226/thousand_movies_with_ratings!I226</f>
        <v>35.294117647058826</v>
      </c>
    </row>
    <row r="227" spans="1:1" x14ac:dyDescent="0.3">
      <c r="A227">
        <f>thousand_movies_with_ratings!G227/thousand_movies_with_ratings!I227</f>
        <v>12.820512820512821</v>
      </c>
    </row>
    <row r="228" spans="1:1" x14ac:dyDescent="0.3">
      <c r="A228">
        <f>thousand_movies_with_ratings!G228/thousand_movies_with_ratings!I228</f>
        <v>74.920251745840162</v>
      </c>
    </row>
    <row r="229" spans="1:1" x14ac:dyDescent="0.3">
      <c r="A229">
        <f>thousand_movies_with_ratings!G229/thousand_movies_with_ratings!I229</f>
        <v>79.47598253275109</v>
      </c>
    </row>
    <row r="230" spans="1:1" x14ac:dyDescent="0.3">
      <c r="A230">
        <f>thousand_movies_with_ratings!G230/thousand_movies_with_ratings!I230</f>
        <v>33.901874078753423</v>
      </c>
    </row>
    <row r="231" spans="1:1" x14ac:dyDescent="0.3">
      <c r="A231">
        <f>thousand_movies_with_ratings!G231/thousand_movies_with_ratings!I231</f>
        <v>61.167227833894501</v>
      </c>
    </row>
    <row r="232" spans="1:1" x14ac:dyDescent="0.3">
      <c r="A232">
        <f>thousand_movies_with_ratings!G232/thousand_movies_with_ratings!I232</f>
        <v>79.831932773109244</v>
      </c>
    </row>
    <row r="233" spans="1:1" x14ac:dyDescent="0.3">
      <c r="A233">
        <f>thousand_movies_with_ratings!G233/thousand_movies_with_ratings!I233</f>
        <v>48.795180722891565</v>
      </c>
    </row>
    <row r="234" spans="1:1" x14ac:dyDescent="0.3">
      <c r="A234">
        <f>thousand_movies_with_ratings!G234/thousand_movies_with_ratings!I234</f>
        <v>54.386661373560933</v>
      </c>
    </row>
    <row r="235" spans="1:1" x14ac:dyDescent="0.3">
      <c r="A235">
        <f>thousand_movies_with_ratings!G235/thousand_movies_with_ratings!I235</f>
        <v>63.572149344096871</v>
      </c>
    </row>
    <row r="236" spans="1:1" x14ac:dyDescent="0.3">
      <c r="A236">
        <f>thousand_movies_with_ratings!G236/thousand_movies_with_ratings!I236</f>
        <v>60</v>
      </c>
    </row>
    <row r="237" spans="1:1" x14ac:dyDescent="0.3">
      <c r="A237">
        <f>thousand_movies_with_ratings!G237/thousand_movies_with_ratings!I237</f>
        <v>37.037037037037038</v>
      </c>
    </row>
    <row r="238" spans="1:1" x14ac:dyDescent="0.3">
      <c r="A238">
        <f>thousand_movies_with_ratings!G238/thousand_movies_with_ratings!I238</f>
        <v>51.724137931034484</v>
      </c>
    </row>
    <row r="239" spans="1:1" x14ac:dyDescent="0.3">
      <c r="A239">
        <f>thousand_movies_with_ratings!G239/thousand_movies_with_ratings!I239</f>
        <v>73.525657390860346</v>
      </c>
    </row>
    <row r="240" spans="1:1" x14ac:dyDescent="0.3">
      <c r="A240">
        <f>thousand_movies_with_ratings!G240/thousand_movies_with_ratings!I240</f>
        <v>50.147492625368734</v>
      </c>
    </row>
    <row r="241" spans="1:1" x14ac:dyDescent="0.3">
      <c r="A241">
        <f>thousand_movies_with_ratings!G241/thousand_movies_with_ratings!I241</f>
        <v>13.93188854489164</v>
      </c>
    </row>
    <row r="242" spans="1:1" x14ac:dyDescent="0.3">
      <c r="A242">
        <f>thousand_movies_with_ratings!G242/thousand_movies_with_ratings!I242</f>
        <v>14.083333333333334</v>
      </c>
    </row>
    <row r="243" spans="1:1" x14ac:dyDescent="0.3">
      <c r="A243">
        <f>thousand_movies_with_ratings!G243/thousand_movies_with_ratings!I243</f>
        <v>34.782608695652172</v>
      </c>
    </row>
    <row r="244" spans="1:1" x14ac:dyDescent="0.3">
      <c r="A244">
        <f>thousand_movies_with_ratings!G244/thousand_movies_with_ratings!I244</f>
        <v>38.888888888888886</v>
      </c>
    </row>
    <row r="245" spans="1:1" x14ac:dyDescent="0.3">
      <c r="A245">
        <f>thousand_movies_with_ratings!G245/thousand_movies_with_ratings!I245</f>
        <v>48.780487804878049</v>
      </c>
    </row>
    <row r="246" spans="1:1" x14ac:dyDescent="0.3">
      <c r="A246">
        <f>thousand_movies_with_ratings!G246/thousand_movies_with_ratings!I246</f>
        <v>29.126213592233011</v>
      </c>
    </row>
    <row r="247" spans="1:1" x14ac:dyDescent="0.3">
      <c r="A247">
        <f>thousand_movies_with_ratings!G247/thousand_movies_with_ratings!I247</f>
        <v>28.378378378378379</v>
      </c>
    </row>
    <row r="248" spans="1:1" x14ac:dyDescent="0.3">
      <c r="A248">
        <f>thousand_movies_with_ratings!G248/thousand_movies_with_ratings!I248</f>
        <v>104.93827160493827</v>
      </c>
    </row>
    <row r="249" spans="1:1" x14ac:dyDescent="0.3">
      <c r="A249">
        <f>thousand_movies_with_ratings!G249/thousand_movies_with_ratings!I249</f>
        <v>78.977783485296001</v>
      </c>
    </row>
    <row r="250" spans="1:1" x14ac:dyDescent="0.3">
      <c r="A250">
        <f>thousand_movies_with_ratings!G250/thousand_movies_with_ratings!I250</f>
        <v>62.0384047267356</v>
      </c>
    </row>
    <row r="251" spans="1:1" x14ac:dyDescent="0.3">
      <c r="A251">
        <f>thousand_movies_with_ratings!G251/thousand_movies_with_ratings!I251</f>
        <v>47.61904761904762</v>
      </c>
    </row>
    <row r="252" spans="1:1" x14ac:dyDescent="0.3">
      <c r="A252">
        <f>thousand_movies_with_ratings!G252/thousand_movies_with_ratings!I252</f>
        <v>37.333333333333336</v>
      </c>
    </row>
    <row r="253" spans="1:1" x14ac:dyDescent="0.3">
      <c r="A253">
        <f>thousand_movies_with_ratings!G253/thousand_movies_with_ratings!I253</f>
        <v>41.237113402061858</v>
      </c>
    </row>
    <row r="254" spans="1:1" x14ac:dyDescent="0.3">
      <c r="A254">
        <f>thousand_movies_with_ratings!G254/thousand_movies_with_ratings!I254</f>
        <v>43.147208121827411</v>
      </c>
    </row>
    <row r="255" spans="1:1" x14ac:dyDescent="0.3">
      <c r="A255">
        <f>thousand_movies_with_ratings!G255/thousand_movies_with_ratings!I255</f>
        <v>60.836501901140686</v>
      </c>
    </row>
    <row r="256" spans="1:1" x14ac:dyDescent="0.3">
      <c r="A256">
        <f>thousand_movies_with_ratings!G256/thousand_movies_with_ratings!I256</f>
        <v>75.641025641025635</v>
      </c>
    </row>
    <row r="257" spans="1:1" x14ac:dyDescent="0.3">
      <c r="A257">
        <f>thousand_movies_with_ratings!G257/thousand_movies_with_ratings!I257</f>
        <v>46.469081595316503</v>
      </c>
    </row>
    <row r="258" spans="1:1" x14ac:dyDescent="0.3">
      <c r="A258">
        <f>thousand_movies_with_ratings!G258/thousand_movies_with_ratings!I258</f>
        <v>68.292682926829272</v>
      </c>
    </row>
    <row r="259" spans="1:1" x14ac:dyDescent="0.3">
      <c r="A259">
        <f>thousand_movies_with_ratings!G259/thousand_movies_with_ratings!I259</f>
        <v>69.07477820025349</v>
      </c>
    </row>
    <row r="260" spans="1:1" x14ac:dyDescent="0.3">
      <c r="A260">
        <f>thousand_movies_with_ratings!G260/thousand_movies_with_ratings!I260</f>
        <v>32.906764168190129</v>
      </c>
    </row>
    <row r="261" spans="1:1" x14ac:dyDescent="0.3">
      <c r="A261">
        <f>thousand_movies_with_ratings!G261/thousand_movies_with_ratings!I261</f>
        <v>16.045380875202593</v>
      </c>
    </row>
    <row r="262" spans="1:1" x14ac:dyDescent="0.3">
      <c r="A262">
        <f>thousand_movies_with_ratings!G262/thousand_movies_with_ratings!I262</f>
        <v>53.846153846153847</v>
      </c>
    </row>
    <row r="263" spans="1:1" x14ac:dyDescent="0.3">
      <c r="A263">
        <f>thousand_movies_with_ratings!G263/thousand_movies_with_ratings!I263</f>
        <v>60.24096385542169</v>
      </c>
    </row>
    <row r="264" spans="1:1" x14ac:dyDescent="0.3">
      <c r="A264">
        <f>thousand_movies_with_ratings!G264/thousand_movies_with_ratings!I264</f>
        <v>35.143769968051117</v>
      </c>
    </row>
    <row r="265" spans="1:1" x14ac:dyDescent="0.3">
      <c r="A265">
        <f>thousand_movies_with_ratings!G265/thousand_movies_with_ratings!I265</f>
        <v>32.17483684929428</v>
      </c>
    </row>
    <row r="266" spans="1:1" x14ac:dyDescent="0.3">
      <c r="A266">
        <f>thousand_movies_with_ratings!G266/thousand_movies_with_ratings!I266</f>
        <v>45.116279069767444</v>
      </c>
    </row>
    <row r="267" spans="1:1" x14ac:dyDescent="0.3">
      <c r="A267">
        <f>thousand_movies_with_ratings!G267/thousand_movies_with_ratings!I267</f>
        <v>62.726176115802168</v>
      </c>
    </row>
    <row r="268" spans="1:1" x14ac:dyDescent="0.3">
      <c r="A268">
        <f>thousand_movies_with_ratings!G268/thousand_movies_with_ratings!I268</f>
        <v>26.984126984126984</v>
      </c>
    </row>
    <row r="269" spans="1:1" x14ac:dyDescent="0.3">
      <c r="A269">
        <f>thousand_movies_with_ratings!G269/thousand_movies_with_ratings!I269</f>
        <v>67.061143984220905</v>
      </c>
    </row>
    <row r="270" spans="1:1" x14ac:dyDescent="0.3">
      <c r="A270">
        <f>thousand_movies_with_ratings!G270/thousand_movies_with_ratings!I270</f>
        <v>65.31881804043546</v>
      </c>
    </row>
    <row r="271" spans="1:1" x14ac:dyDescent="0.3">
      <c r="A271">
        <f>thousand_movies_with_ratings!G271/thousand_movies_with_ratings!I271</f>
        <v>23.300970873786408</v>
      </c>
    </row>
    <row r="272" spans="1:1" x14ac:dyDescent="0.3">
      <c r="A272">
        <f>thousand_movies_with_ratings!G272/thousand_movies_with_ratings!I272</f>
        <v>52.631578947368418</v>
      </c>
    </row>
    <row r="273" spans="1:1" x14ac:dyDescent="0.3">
      <c r="A273">
        <f>thousand_movies_with_ratings!G273/thousand_movies_with_ratings!I273</f>
        <v>62.769230769230766</v>
      </c>
    </row>
    <row r="274" spans="1:1" x14ac:dyDescent="0.3">
      <c r="A274">
        <f>thousand_movies_with_ratings!G274/thousand_movies_with_ratings!I274</f>
        <v>56.60377358490566</v>
      </c>
    </row>
    <row r="275" spans="1:1" x14ac:dyDescent="0.3">
      <c r="A275">
        <f>thousand_movies_with_ratings!G275/thousand_movies_with_ratings!I275</f>
        <v>70.40785948198868</v>
      </c>
    </row>
    <row r="276" spans="1:1" x14ac:dyDescent="0.3">
      <c r="A276">
        <f>thousand_movies_with_ratings!G276/thousand_movies_with_ratings!I276</f>
        <v>21.897810218978101</v>
      </c>
    </row>
    <row r="277" spans="1:1" x14ac:dyDescent="0.3">
      <c r="A277">
        <f>thousand_movies_with_ratings!G277/thousand_movies_with_ratings!I277</f>
        <v>43.967280163599185</v>
      </c>
    </row>
    <row r="278" spans="1:1" x14ac:dyDescent="0.3">
      <c r="A278">
        <f>thousand_movies_with_ratings!G278/thousand_movies_with_ratings!I278</f>
        <v>21.739130434782609</v>
      </c>
    </row>
    <row r="279" spans="1:1" x14ac:dyDescent="0.3">
      <c r="A279">
        <f>thousand_movies_with_ratings!G279/thousand_movies_with_ratings!I279</f>
        <v>36.390101892285301</v>
      </c>
    </row>
    <row r="280" spans="1:1" x14ac:dyDescent="0.3">
      <c r="A280">
        <f>thousand_movies_with_ratings!G280/thousand_movies_with_ratings!I280</f>
        <v>18.543046357615893</v>
      </c>
    </row>
    <row r="281" spans="1:1" x14ac:dyDescent="0.3">
      <c r="A281">
        <f>thousand_movies_with_ratings!G281/thousand_movies_with_ratings!I281</f>
        <v>38.314176245210732</v>
      </c>
    </row>
    <row r="282" spans="1:1" x14ac:dyDescent="0.3">
      <c r="A282">
        <f>thousand_movies_with_ratings!G282/thousand_movies_with_ratings!I282</f>
        <v>50</v>
      </c>
    </row>
    <row r="283" spans="1:1" x14ac:dyDescent="0.3">
      <c r="A283">
        <f>thousand_movies_with_ratings!G283/thousand_movies_with_ratings!I283</f>
        <v>48.136645962732921</v>
      </c>
    </row>
    <row r="284" spans="1:1" x14ac:dyDescent="0.3">
      <c r="A284">
        <f>thousand_movies_with_ratings!G284/thousand_movies_with_ratings!I284</f>
        <v>31.944444444444443</v>
      </c>
    </row>
    <row r="285" spans="1:1" x14ac:dyDescent="0.3">
      <c r="A285">
        <f>thousand_movies_with_ratings!G285/thousand_movies_with_ratings!I285</f>
        <v>82.429501084598698</v>
      </c>
    </row>
    <row r="286" spans="1:1" x14ac:dyDescent="0.3">
      <c r="A286">
        <f>thousand_movies_with_ratings!G286/thousand_movies_with_ratings!I286</f>
        <v>81.25</v>
      </c>
    </row>
    <row r="287" spans="1:1" x14ac:dyDescent="0.3">
      <c r="A287">
        <f>thousand_movies_with_ratings!G287/thousand_movies_with_ratings!I287</f>
        <v>58.835845896147404</v>
      </c>
    </row>
    <row r="288" spans="1:1" x14ac:dyDescent="0.3">
      <c r="A288">
        <f>thousand_movies_with_ratings!G288/thousand_movies_with_ratings!I288</f>
        <v>20.833333333333332</v>
      </c>
    </row>
    <row r="289" spans="1:1" x14ac:dyDescent="0.3">
      <c r="A289">
        <f>thousand_movies_with_ratings!G289/thousand_movies_with_ratings!I289</f>
        <v>31.428571428571427</v>
      </c>
    </row>
    <row r="290" spans="1:1" x14ac:dyDescent="0.3">
      <c r="A290">
        <f>thousand_movies_with_ratings!G290/thousand_movies_with_ratings!I290</f>
        <v>53.459119496855344</v>
      </c>
    </row>
    <row r="291" spans="1:1" x14ac:dyDescent="0.3">
      <c r="A291">
        <f>thousand_movies_with_ratings!G291/thousand_movies_with_ratings!I291</f>
        <v>21.563342318059298</v>
      </c>
    </row>
    <row r="292" spans="1:1" x14ac:dyDescent="0.3">
      <c r="A292">
        <f>thousand_movies_with_ratings!G292/thousand_movies_with_ratings!I292</f>
        <v>46.229413464316671</v>
      </c>
    </row>
    <row r="293" spans="1:1" x14ac:dyDescent="0.3">
      <c r="A293">
        <f>thousand_movies_with_ratings!G293/thousand_movies_with_ratings!I293</f>
        <v>56.521739130434781</v>
      </c>
    </row>
    <row r="294" spans="1:1" x14ac:dyDescent="0.3">
      <c r="A294">
        <f>thousand_movies_with_ratings!G294/thousand_movies_with_ratings!I294</f>
        <v>43.18181818181818</v>
      </c>
    </row>
    <row r="295" spans="1:1" x14ac:dyDescent="0.3">
      <c r="A295">
        <f>thousand_movies_with_ratings!G295/thousand_movies_with_ratings!I295</f>
        <v>57.082452431289639</v>
      </c>
    </row>
    <row r="296" spans="1:1" x14ac:dyDescent="0.3">
      <c r="A296">
        <f>thousand_movies_with_ratings!G296/thousand_movies_with_ratings!I296</f>
        <v>64.245810055865917</v>
      </c>
    </row>
    <row r="297" spans="1:1" x14ac:dyDescent="0.3">
      <c r="A297">
        <f>thousand_movies_with_ratings!G297/thousand_movies_with_ratings!I297</f>
        <v>25.883524141363864</v>
      </c>
    </row>
    <row r="298" spans="1:1" x14ac:dyDescent="0.3">
      <c r="A298">
        <f>thousand_movies_with_ratings!G298/thousand_movies_with_ratings!I298</f>
        <v>58.874646969367802</v>
      </c>
    </row>
    <row r="299" spans="1:1" x14ac:dyDescent="0.3">
      <c r="A299">
        <f>thousand_movies_with_ratings!G299/thousand_movies_with_ratings!I299</f>
        <v>55.76806925709684</v>
      </c>
    </row>
    <row r="300" spans="1:1" x14ac:dyDescent="0.3">
      <c r="A300">
        <f>thousand_movies_with_ratings!G300/thousand_movies_with_ratings!I300</f>
        <v>11.113924050632912</v>
      </c>
    </row>
    <row r="301" spans="1:1" x14ac:dyDescent="0.3">
      <c r="A301">
        <f>thousand_movies_with_ratings!G301/thousand_movies_with_ratings!I301</f>
        <v>27.980535279805352</v>
      </c>
    </row>
    <row r="302" spans="1:1" x14ac:dyDescent="0.3">
      <c r="A302">
        <f>thousand_movies_with_ratings!G302/thousand_movies_with_ratings!I302</f>
        <v>22.981366459627328</v>
      </c>
    </row>
    <row r="303" spans="1:1" x14ac:dyDescent="0.3">
      <c r="A303">
        <f>thousand_movies_with_ratings!G303/thousand_movies_with_ratings!I303</f>
        <v>56.962025316455694</v>
      </c>
    </row>
    <row r="304" spans="1:1" x14ac:dyDescent="0.3">
      <c r="A304">
        <f>thousand_movies_with_ratings!G304/thousand_movies_with_ratings!I304</f>
        <v>30.495552731893266</v>
      </c>
    </row>
    <row r="305" spans="1:1" x14ac:dyDescent="0.3">
      <c r="A305">
        <f>thousand_movies_with_ratings!G305/thousand_movies_with_ratings!I305</f>
        <v>48.365122615803813</v>
      </c>
    </row>
    <row r="306" spans="1:1" x14ac:dyDescent="0.3">
      <c r="A306">
        <f>thousand_movies_with_ratings!G306/thousand_movies_with_ratings!I306</f>
        <v>65.645514223194752</v>
      </c>
    </row>
    <row r="307" spans="1:1" x14ac:dyDescent="0.3">
      <c r="A307">
        <f>thousand_movies_with_ratings!G307/thousand_movies_with_ratings!I307</f>
        <v>61.240310077519382</v>
      </c>
    </row>
    <row r="308" spans="1:1" x14ac:dyDescent="0.3">
      <c r="A308">
        <f>thousand_movies_with_ratings!G308/thousand_movies_with_ratings!I308</f>
        <v>31.615120274914091</v>
      </c>
    </row>
    <row r="309" spans="1:1" x14ac:dyDescent="0.3">
      <c r="A309">
        <f>thousand_movies_with_ratings!G309/thousand_movies_with_ratings!I309</f>
        <v>84.843492586490939</v>
      </c>
    </row>
    <row r="310" spans="1:1" x14ac:dyDescent="0.3">
      <c r="A310">
        <f>thousand_movies_with_ratings!G310/thousand_movies_with_ratings!I310</f>
        <v>54.6875</v>
      </c>
    </row>
    <row r="311" spans="1:1" x14ac:dyDescent="0.3">
      <c r="A311">
        <f>thousand_movies_with_ratings!G311/thousand_movies_with_ratings!I311</f>
        <v>34.557235421166304</v>
      </c>
    </row>
    <row r="312" spans="1:1" x14ac:dyDescent="0.3">
      <c r="A312">
        <f>thousand_movies_with_ratings!G312/thousand_movies_with_ratings!I312</f>
        <v>50.78125</v>
      </c>
    </row>
    <row r="313" spans="1:1" x14ac:dyDescent="0.3">
      <c r="A313">
        <f>thousand_movies_with_ratings!G313/thousand_movies_with_ratings!I313</f>
        <v>34.883720930232556</v>
      </c>
    </row>
    <row r="314" spans="1:1" x14ac:dyDescent="0.3">
      <c r="A314">
        <f>thousand_movies_with_ratings!G314/thousand_movies_with_ratings!I314</f>
        <v>53.386454183266935</v>
      </c>
    </row>
    <row r="315" spans="1:1" x14ac:dyDescent="0.3">
      <c r="A315">
        <f>thousand_movies_with_ratings!G315/thousand_movies_with_ratings!I315</f>
        <v>47.61904761904762</v>
      </c>
    </row>
    <row r="316" spans="1:1" x14ac:dyDescent="0.3">
      <c r="A316">
        <f>thousand_movies_with_ratings!G316/thousand_movies_with_ratings!I316</f>
        <v>33.333333333333336</v>
      </c>
    </row>
    <row r="317" spans="1:1" x14ac:dyDescent="0.3">
      <c r="A317">
        <f>thousand_movies_with_ratings!G317/thousand_movies_with_ratings!I317</f>
        <v>46.357615894039732</v>
      </c>
    </row>
    <row r="318" spans="1:1" x14ac:dyDescent="0.3">
      <c r="A318">
        <f>thousand_movies_with_ratings!G318/thousand_movies_with_ratings!I318</f>
        <v>49.900199600798402</v>
      </c>
    </row>
    <row r="319" spans="1:1" x14ac:dyDescent="0.3">
      <c r="A319">
        <f>thousand_movies_with_ratings!G319/thousand_movies_with_ratings!I319</f>
        <v>36.964980544747078</v>
      </c>
    </row>
    <row r="320" spans="1:1" x14ac:dyDescent="0.3">
      <c r="A320">
        <f>thousand_movies_with_ratings!G320/thousand_movies_with_ratings!I320</f>
        <v>25.174825174825173</v>
      </c>
    </row>
    <row r="321" spans="1:1" x14ac:dyDescent="0.3">
      <c r="A321">
        <f>thousand_movies_with_ratings!G321/thousand_movies_with_ratings!I321</f>
        <v>59.851301115241633</v>
      </c>
    </row>
    <row r="322" spans="1:1" x14ac:dyDescent="0.3">
      <c r="A322">
        <f>thousand_movies_with_ratings!G322/thousand_movies_with_ratings!I322</f>
        <v>49.595141700404859</v>
      </c>
    </row>
    <row r="323" spans="1:1" x14ac:dyDescent="0.3">
      <c r="A323">
        <f>thousand_movies_with_ratings!G323/thousand_movies_with_ratings!I323</f>
        <v>51.063829787234042</v>
      </c>
    </row>
    <row r="324" spans="1:1" x14ac:dyDescent="0.3">
      <c r="A324">
        <f>thousand_movies_with_ratings!G324/thousand_movies_with_ratings!I324</f>
        <v>26.699029126213592</v>
      </c>
    </row>
    <row r="325" spans="1:1" x14ac:dyDescent="0.3">
      <c r="A325">
        <f>thousand_movies_with_ratings!G325/thousand_movies_with_ratings!I325</f>
        <v>40.572792362768496</v>
      </c>
    </row>
    <row r="326" spans="1:1" x14ac:dyDescent="0.3">
      <c r="A326">
        <f>thousand_movies_with_ratings!G326/thousand_movies_with_ratings!I326</f>
        <v>57.728826433725786</v>
      </c>
    </row>
    <row r="327" spans="1:1" x14ac:dyDescent="0.3">
      <c r="A327">
        <f>thousand_movies_with_ratings!G327/thousand_movies_with_ratings!I327</f>
        <v>53.703703703703702</v>
      </c>
    </row>
    <row r="328" spans="1:1" x14ac:dyDescent="0.3">
      <c r="A328">
        <f>thousand_movies_with_ratings!G328/thousand_movies_with_ratings!I328</f>
        <v>55.248618784530386</v>
      </c>
    </row>
    <row r="329" spans="1:1" x14ac:dyDescent="0.3">
      <c r="A329">
        <f>thousand_movies_with_ratings!G329/thousand_movies_with_ratings!I329</f>
        <v>54.815760671287855</v>
      </c>
    </row>
    <row r="330" spans="1:1" x14ac:dyDescent="0.3">
      <c r="A330">
        <f>thousand_movies_with_ratings!G330/thousand_movies_with_ratings!I330</f>
        <v>44.354838709677416</v>
      </c>
    </row>
    <row r="331" spans="1:1" x14ac:dyDescent="0.3">
      <c r="A331">
        <f>thousand_movies_with_ratings!G331/thousand_movies_with_ratings!I331</f>
        <v>72.727272727272734</v>
      </c>
    </row>
    <row r="332" spans="1:1" x14ac:dyDescent="0.3">
      <c r="A332">
        <f>thousand_movies_with_ratings!G332/thousand_movies_with_ratings!I332</f>
        <v>72.727272727272734</v>
      </c>
    </row>
    <row r="333" spans="1:1" x14ac:dyDescent="0.3">
      <c r="A333">
        <f>thousand_movies_with_ratings!G333/thousand_movies_with_ratings!I333</f>
        <v>65.155807365439088</v>
      </c>
    </row>
    <row r="334" spans="1:1" x14ac:dyDescent="0.3">
      <c r="A334">
        <f>thousand_movies_with_ratings!G334/thousand_movies_with_ratings!I334</f>
        <v>73.903002309468818</v>
      </c>
    </row>
    <row r="335" spans="1:1" x14ac:dyDescent="0.3">
      <c r="A335">
        <f>thousand_movies_with_ratings!G335/thousand_movies_with_ratings!I335</f>
        <v>67.857142857142861</v>
      </c>
    </row>
    <row r="336" spans="1:1" x14ac:dyDescent="0.3">
      <c r="A336">
        <f>thousand_movies_with_ratings!G336/thousand_movies_with_ratings!I336</f>
        <v>50</v>
      </c>
    </row>
    <row r="337" spans="1:1" x14ac:dyDescent="0.3">
      <c r="A337">
        <f>thousand_movies_with_ratings!G337/thousand_movies_with_ratings!I337</f>
        <v>49.382716049382715</v>
      </c>
    </row>
    <row r="338" spans="1:1" x14ac:dyDescent="0.3">
      <c r="A338">
        <f>thousand_movies_with_ratings!G338/thousand_movies_with_ratings!I338</f>
        <v>21.355617455896006</v>
      </c>
    </row>
    <row r="339" spans="1:1" x14ac:dyDescent="0.3">
      <c r="A339">
        <f>thousand_movies_with_ratings!G339/thousand_movies_with_ratings!I339</f>
        <v>1.5783475783475784</v>
      </c>
    </row>
    <row r="340" spans="1:1" x14ac:dyDescent="0.3">
      <c r="A340">
        <f>thousand_movies_with_ratings!G340/thousand_movies_with_ratings!I340</f>
        <v>27.272727272727273</v>
      </c>
    </row>
    <row r="341" spans="1:1" x14ac:dyDescent="0.3">
      <c r="A341">
        <f>thousand_movies_with_ratings!G341/thousand_movies_with_ratings!I341</f>
        <v>76.543209876543216</v>
      </c>
    </row>
    <row r="342" spans="1:1" x14ac:dyDescent="0.3">
      <c r="A342">
        <f>thousand_movies_with_ratings!G342/thousand_movies_with_ratings!I342</f>
        <v>36.263736263736263</v>
      </c>
    </row>
    <row r="343" spans="1:1" x14ac:dyDescent="0.3">
      <c r="A343">
        <f>thousand_movies_with_ratings!G343/thousand_movies_with_ratings!I343</f>
        <v>55.837563451776653</v>
      </c>
    </row>
    <row r="344" spans="1:1" x14ac:dyDescent="0.3">
      <c r="A344">
        <f>thousand_movies_with_ratings!G344/thousand_movies_with_ratings!I344</f>
        <v>66.534260178748752</v>
      </c>
    </row>
    <row r="345" spans="1:1" x14ac:dyDescent="0.3">
      <c r="A345">
        <f>thousand_movies_with_ratings!G345/thousand_movies_with_ratings!I345</f>
        <v>49.704142011834321</v>
      </c>
    </row>
    <row r="346" spans="1:1" x14ac:dyDescent="0.3">
      <c r="A346">
        <f>thousand_movies_with_ratings!G346/thousand_movies_with_ratings!I346</f>
        <v>29.292107404393818</v>
      </c>
    </row>
    <row r="347" spans="1:1" x14ac:dyDescent="0.3">
      <c r="A347">
        <f>thousand_movies_with_ratings!G347/thousand_movies_with_ratings!I347</f>
        <v>29.484029484029485</v>
      </c>
    </row>
    <row r="348" spans="1:1" x14ac:dyDescent="0.3">
      <c r="A348">
        <f>thousand_movies_with_ratings!G348/thousand_movies_with_ratings!I348</f>
        <v>13.111545988258317</v>
      </c>
    </row>
    <row r="349" spans="1:1" x14ac:dyDescent="0.3">
      <c r="A349">
        <f>thousand_movies_with_ratings!G349/thousand_movies_with_ratings!I349</f>
        <v>86.04651162790698</v>
      </c>
    </row>
    <row r="350" spans="1:1" x14ac:dyDescent="0.3">
      <c r="A350">
        <f>thousand_movies_with_ratings!G350/thousand_movies_with_ratings!I350</f>
        <v>64.066852367688028</v>
      </c>
    </row>
    <row r="351" spans="1:1" x14ac:dyDescent="0.3">
      <c r="A351">
        <f>thousand_movies_with_ratings!G351/thousand_movies_with_ratings!I351</f>
        <v>56.384742951907128</v>
      </c>
    </row>
    <row r="352" spans="1:1" x14ac:dyDescent="0.3">
      <c r="A352">
        <f>thousand_movies_with_ratings!G352/thousand_movies_with_ratings!I352</f>
        <v>26.252983293556085</v>
      </c>
    </row>
    <row r="353" spans="1:1" x14ac:dyDescent="0.3">
      <c r="A353">
        <f>thousand_movies_with_ratings!G353/thousand_movies_with_ratings!I353</f>
        <v>68.880688806888074</v>
      </c>
    </row>
    <row r="354" spans="1:1" x14ac:dyDescent="0.3">
      <c r="A354">
        <f>thousand_movies_with_ratings!G354/thousand_movies_with_ratings!I354</f>
        <v>70.844686648501366</v>
      </c>
    </row>
    <row r="355" spans="1:1" x14ac:dyDescent="0.3">
      <c r="A355">
        <f>thousand_movies_with_ratings!G355/thousand_movies_with_ratings!I355</f>
        <v>13.461538461538462</v>
      </c>
    </row>
    <row r="356" spans="1:1" x14ac:dyDescent="0.3">
      <c r="A356">
        <f>thousand_movies_with_ratings!G356/thousand_movies_with_ratings!I356</f>
        <v>35.454545454545453</v>
      </c>
    </row>
    <row r="357" spans="1:1" x14ac:dyDescent="0.3">
      <c r="A357">
        <f>thousand_movies_with_ratings!G357/thousand_movies_with_ratings!I357</f>
        <v>16.806722689075631</v>
      </c>
    </row>
    <row r="358" spans="1:1" x14ac:dyDescent="0.3">
      <c r="A358">
        <f>thousand_movies_with_ratings!G358/thousand_movies_with_ratings!I358</f>
        <v>47.251687560270007</v>
      </c>
    </row>
    <row r="359" spans="1:1" x14ac:dyDescent="0.3">
      <c r="A359">
        <f>thousand_movies_with_ratings!G359/thousand_movies_with_ratings!I359</f>
        <v>27.118644067796609</v>
      </c>
    </row>
    <row r="360" spans="1:1" x14ac:dyDescent="0.3">
      <c r="A360">
        <f>thousand_movies_with_ratings!G360/thousand_movies_with_ratings!I360</f>
        <v>38.095238095238095</v>
      </c>
    </row>
    <row r="361" spans="1:1" x14ac:dyDescent="0.3">
      <c r="A361">
        <f>thousand_movies_with_ratings!G361/thousand_movies_with_ratings!I361</f>
        <v>44.70300061236987</v>
      </c>
    </row>
    <row r="362" spans="1:1" x14ac:dyDescent="0.3">
      <c r="A362">
        <f>thousand_movies_with_ratings!G362/thousand_movies_with_ratings!I362</f>
        <v>40.88669950738916</v>
      </c>
    </row>
    <row r="363" spans="1:1" x14ac:dyDescent="0.3">
      <c r="A363">
        <f>thousand_movies_with_ratings!G363/thousand_movies_with_ratings!I363</f>
        <v>11.420612813370473</v>
      </c>
    </row>
    <row r="364" spans="1:1" x14ac:dyDescent="0.3">
      <c r="A364">
        <f>thousand_movies_with_ratings!G364/thousand_movies_with_ratings!I364</f>
        <v>45.263157894736842</v>
      </c>
    </row>
    <row r="365" spans="1:1" x14ac:dyDescent="0.3">
      <c r="A365">
        <f>thousand_movies_with_ratings!G365/thousand_movies_with_ratings!I365</f>
        <v>80.074487895716942</v>
      </c>
    </row>
    <row r="366" spans="1:1" x14ac:dyDescent="0.3">
      <c r="A366">
        <f>thousand_movies_with_ratings!G366/thousand_movies_with_ratings!I366</f>
        <v>71.544715447154474</v>
      </c>
    </row>
    <row r="367" spans="1:1" x14ac:dyDescent="0.3">
      <c r="A367">
        <f>thousand_movies_with_ratings!G367/thousand_movies_with_ratings!I367</f>
        <v>87.804878048780495</v>
      </c>
    </row>
    <row r="368" spans="1:1" x14ac:dyDescent="0.3">
      <c r="A368">
        <f>thousand_movies_with_ratings!G368/thousand_movies_with_ratings!I368</f>
        <v>39.164490861618802</v>
      </c>
    </row>
    <row r="369" spans="1:1" x14ac:dyDescent="0.3">
      <c r="A369">
        <f>thousand_movies_with_ratings!G369/thousand_movies_with_ratings!I369</f>
        <v>117.1875</v>
      </c>
    </row>
    <row r="370" spans="1:1" x14ac:dyDescent="0.3">
      <c r="A370">
        <f>thousand_movies_with_ratings!G370/thousand_movies_with_ratings!I370</f>
        <v>67.448680351906162</v>
      </c>
    </row>
    <row r="371" spans="1:1" x14ac:dyDescent="0.3">
      <c r="A371">
        <f>thousand_movies_with_ratings!G371/thousand_movies_with_ratings!I371</f>
        <v>49.212598425196852</v>
      </c>
    </row>
    <row r="372" spans="1:1" x14ac:dyDescent="0.3">
      <c r="A372">
        <f>thousand_movies_with_ratings!G372/thousand_movies_with_ratings!I372</f>
        <v>67.357512953367873</v>
      </c>
    </row>
    <row r="373" spans="1:1" x14ac:dyDescent="0.3">
      <c r="A373">
        <f>thousand_movies_with_ratings!G373/thousand_movies_with_ratings!I373</f>
        <v>55.327868852459019</v>
      </c>
    </row>
    <row r="374" spans="1:1" x14ac:dyDescent="0.3">
      <c r="A374">
        <f>thousand_movies_with_ratings!G374/thousand_movies_with_ratings!I374</f>
        <v>57.960893854748605</v>
      </c>
    </row>
    <row r="375" spans="1:1" x14ac:dyDescent="0.3">
      <c r="A375">
        <f>thousand_movies_with_ratings!G375/thousand_movies_with_ratings!I375</f>
        <v>25.404157043879909</v>
      </c>
    </row>
    <row r="376" spans="1:1" x14ac:dyDescent="0.3">
      <c r="A376">
        <f>thousand_movies_with_ratings!G376/thousand_movies_with_ratings!I376</f>
        <v>34.183673469387756</v>
      </c>
    </row>
    <row r="377" spans="1:1" x14ac:dyDescent="0.3">
      <c r="A377">
        <f>thousand_movies_with_ratings!G377/thousand_movies_with_ratings!I377</f>
        <v>65.384615384615387</v>
      </c>
    </row>
    <row r="378" spans="1:1" x14ac:dyDescent="0.3">
      <c r="A378">
        <f>thousand_movies_with_ratings!G378/thousand_movies_with_ratings!I378</f>
        <v>60.948081264108353</v>
      </c>
    </row>
    <row r="379" spans="1:1" x14ac:dyDescent="0.3">
      <c r="A379">
        <f>thousand_movies_with_ratings!G379/thousand_movies_with_ratings!I379</f>
        <v>21.551724137931036</v>
      </c>
    </row>
    <row r="380" spans="1:1" x14ac:dyDescent="0.3">
      <c r="A380">
        <f>thousand_movies_with_ratings!G380/thousand_movies_with_ratings!I380</f>
        <v>50.994676379938355</v>
      </c>
    </row>
    <row r="381" spans="1:1" x14ac:dyDescent="0.3">
      <c r="A381">
        <f>thousand_movies_with_ratings!G381/thousand_movies_with_ratings!I381</f>
        <v>22.684310018903592</v>
      </c>
    </row>
    <row r="382" spans="1:1" x14ac:dyDescent="0.3">
      <c r="A382">
        <f>thousand_movies_with_ratings!G382/thousand_movies_with_ratings!I382</f>
        <v>69.794493989918578</v>
      </c>
    </row>
    <row r="383" spans="1:1" x14ac:dyDescent="0.3">
      <c r="A383">
        <f>thousand_movies_with_ratings!G383/thousand_movies_with_ratings!I383</f>
        <v>54.545454545454547</v>
      </c>
    </row>
    <row r="384" spans="1:1" x14ac:dyDescent="0.3">
      <c r="A384">
        <f>thousand_movies_with_ratings!G384/thousand_movies_with_ratings!I384</f>
        <v>53.51681957186544</v>
      </c>
    </row>
    <row r="385" spans="1:1" x14ac:dyDescent="0.3">
      <c r="A385">
        <f>thousand_movies_with_ratings!G385/thousand_movies_with_ratings!I385</f>
        <v>56.944444444444443</v>
      </c>
    </row>
    <row r="386" spans="1:1" x14ac:dyDescent="0.3">
      <c r="A386">
        <f>thousand_movies_with_ratings!G386/thousand_movies_with_ratings!I386</f>
        <v>16.857142857142858</v>
      </c>
    </row>
    <row r="387" spans="1:1" x14ac:dyDescent="0.3">
      <c r="A387">
        <f>thousand_movies_with_ratings!G387/thousand_movies_with_ratings!I387</f>
        <v>57.258064516129032</v>
      </c>
    </row>
    <row r="388" spans="1:1" x14ac:dyDescent="0.3">
      <c r="A388">
        <f>thousand_movies_with_ratings!G388/thousand_movies_with_ratings!I388</f>
        <v>43.349753694581281</v>
      </c>
    </row>
    <row r="389" spans="1:1" x14ac:dyDescent="0.3">
      <c r="A389">
        <f>thousand_movies_with_ratings!G389/thousand_movies_with_ratings!I389</f>
        <v>75.615050651230106</v>
      </c>
    </row>
    <row r="390" spans="1:1" x14ac:dyDescent="0.3">
      <c r="A390">
        <f>thousand_movies_with_ratings!G390/thousand_movies_with_ratings!I390</f>
        <v>57.03771849126035</v>
      </c>
    </row>
    <row r="391" spans="1:1" x14ac:dyDescent="0.3">
      <c r="A391">
        <f>thousand_movies_with_ratings!G391/thousand_movies_with_ratings!I391</f>
        <v>50.602409638554214</v>
      </c>
    </row>
    <row r="392" spans="1:1" x14ac:dyDescent="0.3">
      <c r="A392">
        <f>thousand_movies_with_ratings!G392/thousand_movies_with_ratings!I392</f>
        <v>25.454545454545453</v>
      </c>
    </row>
    <row r="393" spans="1:1" x14ac:dyDescent="0.3">
      <c r="A393">
        <f>thousand_movies_with_ratings!G393/thousand_movies_with_ratings!I393</f>
        <v>42.837273991655074</v>
      </c>
    </row>
    <row r="394" spans="1:1" x14ac:dyDescent="0.3">
      <c r="A394">
        <f>thousand_movies_with_ratings!G394/thousand_movies_with_ratings!I394</f>
        <v>340</v>
      </c>
    </row>
    <row r="395" spans="1:1" x14ac:dyDescent="0.3">
      <c r="A395">
        <f>thousand_movies_with_ratings!G395/thousand_movies_with_ratings!I395</f>
        <v>50.106609808102348</v>
      </c>
    </row>
    <row r="396" spans="1:1" x14ac:dyDescent="0.3">
      <c r="A396">
        <f>thousand_movies_with_ratings!G396/thousand_movies_with_ratings!I396</f>
        <v>73.949579831932766</v>
      </c>
    </row>
    <row r="397" spans="1:1" x14ac:dyDescent="0.3">
      <c r="A397">
        <f>thousand_movies_with_ratings!G397/thousand_movies_with_ratings!I397</f>
        <v>58.620689655172413</v>
      </c>
    </row>
    <row r="398" spans="1:1" x14ac:dyDescent="0.3">
      <c r="A398">
        <f>thousand_movies_with_ratings!G398/thousand_movies_with_ratings!I398</f>
        <v>56.140350877192979</v>
      </c>
    </row>
    <row r="399" spans="1:1" x14ac:dyDescent="0.3">
      <c r="A399">
        <f>thousand_movies_with_ratings!G399/thousand_movies_with_ratings!I399</f>
        <v>49.525101763907735</v>
      </c>
    </row>
    <row r="400" spans="1:1" x14ac:dyDescent="0.3">
      <c r="A400">
        <f>thousand_movies_with_ratings!G400/thousand_movies_with_ratings!I400</f>
        <v>18.957345971563981</v>
      </c>
    </row>
    <row r="401" spans="1:1" x14ac:dyDescent="0.3">
      <c r="A401">
        <f>thousand_movies_with_ratings!G401/thousand_movies_with_ratings!I401</f>
        <v>72.8643216080402</v>
      </c>
    </row>
    <row r="402" spans="1:1" x14ac:dyDescent="0.3">
      <c r="A402">
        <f>thousand_movies_with_ratings!G402/thousand_movies_with_ratings!I402</f>
        <v>84.347826086956516</v>
      </c>
    </row>
    <row r="403" spans="1:1" x14ac:dyDescent="0.3">
      <c r="A403">
        <f>thousand_movies_with_ratings!G403/thousand_movies_with_ratings!I403</f>
        <v>73.338426279602757</v>
      </c>
    </row>
    <row r="404" spans="1:1" x14ac:dyDescent="0.3">
      <c r="A404">
        <f>thousand_movies_with_ratings!G404/thousand_movies_with_ratings!I404</f>
        <v>49.535603715170282</v>
      </c>
    </row>
    <row r="405" spans="1:1" x14ac:dyDescent="0.3">
      <c r="A405">
        <f>thousand_movies_with_ratings!G405/thousand_movies_with_ratings!I405</f>
        <v>31.25</v>
      </c>
    </row>
    <row r="406" spans="1:1" x14ac:dyDescent="0.3">
      <c r="A406">
        <f>thousand_movies_with_ratings!G406/thousand_movies_with_ratings!I406</f>
        <v>1.7434052757793765</v>
      </c>
    </row>
    <row r="407" spans="1:1" x14ac:dyDescent="0.3">
      <c r="A407">
        <f>thousand_movies_with_ratings!G407/thousand_movies_with_ratings!I407</f>
        <v>53.846153846153847</v>
      </c>
    </row>
    <row r="408" spans="1:1" x14ac:dyDescent="0.3">
      <c r="A408">
        <f>thousand_movies_with_ratings!G408/thousand_movies_with_ratings!I408</f>
        <v>22.790697674418606</v>
      </c>
    </row>
    <row r="409" spans="1:1" x14ac:dyDescent="0.3">
      <c r="A409">
        <f>thousand_movies_with_ratings!G409/thousand_movies_with_ratings!I409</f>
        <v>40.322580645161288</v>
      </c>
    </row>
    <row r="410" spans="1:1" x14ac:dyDescent="0.3">
      <c r="A410">
        <f>thousand_movies_with_ratings!G410/thousand_movies_with_ratings!I410</f>
        <v>33.333333333333336</v>
      </c>
    </row>
    <row r="411" spans="1:1" x14ac:dyDescent="0.3">
      <c r="A411">
        <f>thousand_movies_with_ratings!G411/thousand_movies_with_ratings!I411</f>
        <v>116.21621621621621</v>
      </c>
    </row>
    <row r="412" spans="1:1" x14ac:dyDescent="0.3">
      <c r="A412">
        <f>thousand_movies_with_ratings!G412/thousand_movies_with_ratings!I412</f>
        <v>43.273753527751644</v>
      </c>
    </row>
    <row r="413" spans="1:1" x14ac:dyDescent="0.3">
      <c r="A413">
        <f>thousand_movies_with_ratings!G413/thousand_movies_with_ratings!I413</f>
        <v>71.611253196930946</v>
      </c>
    </row>
    <row r="414" spans="1:1" x14ac:dyDescent="0.3">
      <c r="A414">
        <f>thousand_movies_with_ratings!G414/thousand_movies_with_ratings!I414</f>
        <v>32.857142857142854</v>
      </c>
    </row>
    <row r="415" spans="1:1" x14ac:dyDescent="0.3">
      <c r="A415">
        <f>thousand_movies_with_ratings!G415/thousand_movies_with_ratings!I415</f>
        <v>29.193548387096776</v>
      </c>
    </row>
    <row r="416" spans="1:1" x14ac:dyDescent="0.3">
      <c r="A416">
        <f>thousand_movies_with_ratings!G416/thousand_movies_with_ratings!I416</f>
        <v>42.622950819672134</v>
      </c>
    </row>
    <row r="417" spans="1:1" x14ac:dyDescent="0.3">
      <c r="A417">
        <f>thousand_movies_with_ratings!G417/thousand_movies_with_ratings!I417</f>
        <v>44.278943805010158</v>
      </c>
    </row>
    <row r="418" spans="1:1" x14ac:dyDescent="0.3">
      <c r="A418">
        <f>thousand_movies_with_ratings!G418/thousand_movies_with_ratings!I418</f>
        <v>45.207956600361662</v>
      </c>
    </row>
    <row r="419" spans="1:1" x14ac:dyDescent="0.3">
      <c r="A419">
        <f>thousand_movies_with_ratings!G419/thousand_movies_with_ratings!I419</f>
        <v>46.833333333333336</v>
      </c>
    </row>
    <row r="420" spans="1:1" x14ac:dyDescent="0.3">
      <c r="A420">
        <f>thousand_movies_with_ratings!G420/thousand_movies_with_ratings!I420</f>
        <v>34.444444444444443</v>
      </c>
    </row>
    <row r="421" spans="1:1" x14ac:dyDescent="0.3">
      <c r="A421">
        <f>thousand_movies_with_ratings!G421/thousand_movies_with_ratings!I421</f>
        <v>36.619718309859152</v>
      </c>
    </row>
    <row r="422" spans="1:1" x14ac:dyDescent="0.3">
      <c r="A422">
        <f>thousand_movies_with_ratings!G422/thousand_movies_with_ratings!I422</f>
        <v>45.632973503434741</v>
      </c>
    </row>
    <row r="423" spans="1:1" x14ac:dyDescent="0.3">
      <c r="A423">
        <f>thousand_movies_with_ratings!G423/thousand_movies_with_ratings!I423</f>
        <v>90</v>
      </c>
    </row>
    <row r="424" spans="1:1" x14ac:dyDescent="0.3">
      <c r="A424">
        <f>thousand_movies_with_ratings!G424/thousand_movies_with_ratings!I424</f>
        <v>47.169811320754718</v>
      </c>
    </row>
    <row r="425" spans="1:1" x14ac:dyDescent="0.3">
      <c r="A425">
        <f>thousand_movies_with_ratings!G425/thousand_movies_with_ratings!I425</f>
        <v>49.528301886792455</v>
      </c>
    </row>
    <row r="426" spans="1:1" x14ac:dyDescent="0.3">
      <c r="A426">
        <f>thousand_movies_with_ratings!G426/thousand_movies_with_ratings!I426</f>
        <v>44.750430292598971</v>
      </c>
    </row>
    <row r="427" spans="1:1" x14ac:dyDescent="0.3">
      <c r="A427">
        <f>thousand_movies_with_ratings!G427/thousand_movies_with_ratings!I427</f>
        <v>30.963302752293579</v>
      </c>
    </row>
    <row r="428" spans="1:1" x14ac:dyDescent="0.3">
      <c r="A428">
        <f>thousand_movies_with_ratings!G428/thousand_movies_with_ratings!I428</f>
        <v>45.219638242894057</v>
      </c>
    </row>
    <row r="429" spans="1:1" x14ac:dyDescent="0.3">
      <c r="A429">
        <f>thousand_movies_with_ratings!G429/thousand_movies_with_ratings!I429</f>
        <v>52.186177715091681</v>
      </c>
    </row>
    <row r="430" spans="1:1" x14ac:dyDescent="0.3">
      <c r="A430">
        <f>thousand_movies_with_ratings!G430/thousand_movies_with_ratings!I430</f>
        <v>21.276595744680851</v>
      </c>
    </row>
    <row r="431" spans="1:1" x14ac:dyDescent="0.3">
      <c r="A431">
        <f>thousand_movies_with_ratings!G431/thousand_movies_with_ratings!I431</f>
        <v>61.564059900166392</v>
      </c>
    </row>
    <row r="432" spans="1:1" x14ac:dyDescent="0.3">
      <c r="A432">
        <f>thousand_movies_with_ratings!G432/thousand_movies_with_ratings!I432</f>
        <v>53.913043478260867</v>
      </c>
    </row>
    <row r="433" spans="1:1" x14ac:dyDescent="0.3">
      <c r="A433">
        <f>thousand_movies_with_ratings!G433/thousand_movies_with_ratings!I433</f>
        <v>51.216389244558258</v>
      </c>
    </row>
    <row r="434" spans="1:1" x14ac:dyDescent="0.3">
      <c r="A434">
        <f>thousand_movies_with_ratings!G434/thousand_movies_with_ratings!I434</f>
        <v>22.77432712215321</v>
      </c>
    </row>
    <row r="435" spans="1:1" x14ac:dyDescent="0.3">
      <c r="A435">
        <f>thousand_movies_with_ratings!G435/thousand_movies_with_ratings!I435</f>
        <v>52.437902483900643</v>
      </c>
    </row>
    <row r="436" spans="1:1" x14ac:dyDescent="0.3">
      <c r="A436">
        <f>thousand_movies_with_ratings!G436/thousand_movies_with_ratings!I436</f>
        <v>21.44927536231884</v>
      </c>
    </row>
    <row r="437" spans="1:1" x14ac:dyDescent="0.3">
      <c r="A437">
        <f>thousand_movies_with_ratings!G437/thousand_movies_with_ratings!I437</f>
        <v>44.065387348969438</v>
      </c>
    </row>
    <row r="438" spans="1:1" x14ac:dyDescent="0.3">
      <c r="A438">
        <f>thousand_movies_with_ratings!G438/thousand_movies_with_ratings!I438</f>
        <v>14.716666666666667</v>
      </c>
    </row>
    <row r="439" spans="1:1" x14ac:dyDescent="0.3">
      <c r="A439">
        <f>thousand_movies_with_ratings!G439/thousand_movies_with_ratings!I439</f>
        <v>46.728971962616825</v>
      </c>
    </row>
    <row r="440" spans="1:1" x14ac:dyDescent="0.3">
      <c r="A440">
        <f>thousand_movies_with_ratings!G440/thousand_movies_with_ratings!I440</f>
        <v>54.487179487179489</v>
      </c>
    </row>
    <row r="441" spans="1:1" x14ac:dyDescent="0.3">
      <c r="A441">
        <f>thousand_movies_with_ratings!G441/thousand_movies_with_ratings!I441</f>
        <v>43.07692307692308</v>
      </c>
    </row>
    <row r="442" spans="1:1" x14ac:dyDescent="0.3">
      <c r="A442">
        <f>thousand_movies_with_ratings!G442/thousand_movies_with_ratings!I442</f>
        <v>59.599011260642683</v>
      </c>
    </row>
    <row r="443" spans="1:1" x14ac:dyDescent="0.3">
      <c r="A443">
        <f>thousand_movies_with_ratings!G443/thousand_movies_with_ratings!I443</f>
        <v>81.17647058823529</v>
      </c>
    </row>
    <row r="444" spans="1:1" x14ac:dyDescent="0.3">
      <c r="A444">
        <f>thousand_movies_with_ratings!G444/thousand_movies_with_ratings!I444</f>
        <v>53.097345132743364</v>
      </c>
    </row>
    <row r="445" spans="1:1" x14ac:dyDescent="0.3">
      <c r="A445">
        <f>thousand_movies_with_ratings!G445/thousand_movies_with_ratings!I445</f>
        <v>46.043165467625897</v>
      </c>
    </row>
    <row r="446" spans="1:1" x14ac:dyDescent="0.3">
      <c r="A446">
        <f>thousand_movies_with_ratings!G446/thousand_movies_with_ratings!I446</f>
        <v>100</v>
      </c>
    </row>
    <row r="447" spans="1:1" x14ac:dyDescent="0.3">
      <c r="A447">
        <f>thousand_movies_with_ratings!G447/thousand_movies_with_ratings!I447</f>
        <v>40.359778597785976</v>
      </c>
    </row>
    <row r="448" spans="1:1" x14ac:dyDescent="0.3">
      <c r="A448">
        <f>thousand_movies_with_ratings!G448/thousand_movies_with_ratings!I448</f>
        <v>31.818181818181817</v>
      </c>
    </row>
    <row r="449" spans="1:1" x14ac:dyDescent="0.3">
      <c r="A449">
        <f>thousand_movies_with_ratings!G449/thousand_movies_with_ratings!I449</f>
        <v>48.75</v>
      </c>
    </row>
    <row r="450" spans="1:1" x14ac:dyDescent="0.3">
      <c r="A450">
        <f>thousand_movies_with_ratings!G450/thousand_movies_with_ratings!I450</f>
        <v>51.589242053789732</v>
      </c>
    </row>
    <row r="451" spans="1:1" x14ac:dyDescent="0.3">
      <c r="A451">
        <f>thousand_movies_with_ratings!G451/thousand_movies_with_ratings!I451</f>
        <v>59.993583573949309</v>
      </c>
    </row>
    <row r="452" spans="1:1" x14ac:dyDescent="0.3">
      <c r="A452">
        <f>thousand_movies_with_ratings!G452/thousand_movies_with_ratings!I452</f>
        <v>50</v>
      </c>
    </row>
    <row r="453" spans="1:1" x14ac:dyDescent="0.3">
      <c r="A453">
        <f>thousand_movies_with_ratings!G453/thousand_movies_with_ratings!I453</f>
        <v>642.57028112449802</v>
      </c>
    </row>
    <row r="454" spans="1:1" x14ac:dyDescent="0.3">
      <c r="A454">
        <f>thousand_movies_with_ratings!G454/thousand_movies_with_ratings!I454</f>
        <v>41.070317361543246</v>
      </c>
    </row>
    <row r="455" spans="1:1" x14ac:dyDescent="0.3">
      <c r="A455">
        <f>thousand_movies_with_ratings!G455/thousand_movies_with_ratings!I455</f>
        <v>60.12658227848101</v>
      </c>
    </row>
    <row r="456" spans="1:1" x14ac:dyDescent="0.3">
      <c r="A456">
        <f>thousand_movies_with_ratings!G456/thousand_movies_with_ratings!I456</f>
        <v>33.663366336633665</v>
      </c>
    </row>
    <row r="457" spans="1:1" x14ac:dyDescent="0.3">
      <c r="A457">
        <f>thousand_movies_with_ratings!G457/thousand_movies_with_ratings!I457</f>
        <v>77.631578947368425</v>
      </c>
    </row>
    <row r="458" spans="1:1" x14ac:dyDescent="0.3">
      <c r="A458">
        <f>thousand_movies_with_ratings!G458/thousand_movies_with_ratings!I458</f>
        <v>53.497942386831276</v>
      </c>
    </row>
    <row r="459" spans="1:1" x14ac:dyDescent="0.3">
      <c r="A459">
        <f>thousand_movies_with_ratings!G459/thousand_movies_with_ratings!I459</f>
        <v>88.691796008869176</v>
      </c>
    </row>
    <row r="460" spans="1:1" x14ac:dyDescent="0.3">
      <c r="A460">
        <f>thousand_movies_with_ratings!G460/thousand_movies_with_ratings!I460</f>
        <v>45.356371490280779</v>
      </c>
    </row>
    <row r="461" spans="1:1" x14ac:dyDescent="0.3">
      <c r="A461">
        <f>thousand_movies_with_ratings!G461/thousand_movies_with_ratings!I461</f>
        <v>6.2010443864229767</v>
      </c>
    </row>
    <row r="462" spans="1:1" x14ac:dyDescent="0.3">
      <c r="A462">
        <f>thousand_movies_with_ratings!G462/thousand_movies_with_ratings!I462</f>
        <v>26.826086956521738</v>
      </c>
    </row>
    <row r="463" spans="1:1" x14ac:dyDescent="0.3">
      <c r="A463">
        <f>thousand_movies_with_ratings!G463/thousand_movies_with_ratings!I463</f>
        <v>65.843621399176953</v>
      </c>
    </row>
    <row r="464" spans="1:1" x14ac:dyDescent="0.3">
      <c r="A464">
        <f>thousand_movies_with_ratings!G464/thousand_movies_with_ratings!I464</f>
        <v>42.372881355932201</v>
      </c>
    </row>
    <row r="465" spans="1:1" x14ac:dyDescent="0.3">
      <c r="A465">
        <f>thousand_movies_with_ratings!G465/thousand_movies_with_ratings!I465</f>
        <v>33.63914373088685</v>
      </c>
    </row>
    <row r="466" spans="1:1" x14ac:dyDescent="0.3">
      <c r="A466">
        <f>thousand_movies_with_ratings!G466/thousand_movies_with_ratings!I466</f>
        <v>49.397590361445786</v>
      </c>
    </row>
    <row r="467" spans="1:1" x14ac:dyDescent="0.3">
      <c r="A467">
        <f>thousand_movies_with_ratings!G467/thousand_movies_with_ratings!I467</f>
        <v>54.939872671539732</v>
      </c>
    </row>
    <row r="468" spans="1:1" x14ac:dyDescent="0.3">
      <c r="A468">
        <f>thousand_movies_with_ratings!G468/thousand_movies_with_ratings!I468</f>
        <v>54.285714285714285</v>
      </c>
    </row>
    <row r="469" spans="1:1" x14ac:dyDescent="0.3">
      <c r="A469">
        <f>thousand_movies_with_ratings!G469/thousand_movies_with_ratings!I469</f>
        <v>45.333333333333336</v>
      </c>
    </row>
    <row r="470" spans="1:1" x14ac:dyDescent="0.3">
      <c r="A470">
        <f>thousand_movies_with_ratings!G470/thousand_movies_with_ratings!I470</f>
        <v>37.768240343347642</v>
      </c>
    </row>
    <row r="471" spans="1:1" x14ac:dyDescent="0.3">
      <c r="A471">
        <f>thousand_movies_with_ratings!G471/thousand_movies_with_ratings!I471</f>
        <v>13.953488372093023</v>
      </c>
    </row>
    <row r="472" spans="1:1" x14ac:dyDescent="0.3">
      <c r="A472">
        <f>thousand_movies_with_ratings!G472/thousand_movies_with_ratings!I472</f>
        <v>55.458260361938123</v>
      </c>
    </row>
    <row r="473" spans="1:1" x14ac:dyDescent="0.3">
      <c r="A473">
        <f>thousand_movies_with_ratings!G473/thousand_movies_with_ratings!I473</f>
        <v>36.99136868064118</v>
      </c>
    </row>
    <row r="474" spans="1:1" x14ac:dyDescent="0.3">
      <c r="A474">
        <f>thousand_movies_with_ratings!G474/thousand_movies_with_ratings!I474</f>
        <v>45.370370370370374</v>
      </c>
    </row>
    <row r="475" spans="1:1" x14ac:dyDescent="0.3">
      <c r="A475">
        <f>thousand_movies_with_ratings!G475/thousand_movies_with_ratings!I475</f>
        <v>38.90239666550886</v>
      </c>
    </row>
    <row r="476" spans="1:1" x14ac:dyDescent="0.3">
      <c r="A476">
        <f>thousand_movies_with_ratings!G476/thousand_movies_with_ratings!I476</f>
        <v>0.46693386773547096</v>
      </c>
    </row>
    <row r="477" spans="1:1" x14ac:dyDescent="0.3">
      <c r="A477">
        <f>thousand_movies_with_ratings!G477/thousand_movies_with_ratings!I477</f>
        <v>11.780487804878049</v>
      </c>
    </row>
    <row r="478" spans="1:1" x14ac:dyDescent="0.3">
      <c r="A478">
        <f>thousand_movies_with_ratings!G478/thousand_movies_with_ratings!I478</f>
        <v>38.383838383838381</v>
      </c>
    </row>
    <row r="479" spans="1:1" x14ac:dyDescent="0.3">
      <c r="A479">
        <f>thousand_movies_with_ratings!G479/thousand_movies_with_ratings!I479</f>
        <v>76.666666666666671</v>
      </c>
    </row>
    <row r="480" spans="1:1" x14ac:dyDescent="0.3">
      <c r="A480">
        <f>thousand_movies_with_ratings!G480/thousand_movies_with_ratings!I480</f>
        <v>26.785714285714285</v>
      </c>
    </row>
    <row r="481" spans="1:1" x14ac:dyDescent="0.3">
      <c r="A481">
        <f>thousand_movies_with_ratings!G481/thousand_movies_with_ratings!I481</f>
        <v>18.238993710691823</v>
      </c>
    </row>
    <row r="482" spans="1:1" x14ac:dyDescent="0.3">
      <c r="A482">
        <f>thousand_movies_with_ratings!G482/thousand_movies_with_ratings!I482</f>
        <v>53.816707948660209</v>
      </c>
    </row>
    <row r="483" spans="1:1" x14ac:dyDescent="0.3">
      <c r="A483">
        <f>thousand_movies_with_ratings!G483/thousand_movies_with_ratings!I483</f>
        <v>35.765379113018597</v>
      </c>
    </row>
    <row r="484" spans="1:1" x14ac:dyDescent="0.3">
      <c r="A484">
        <f>thousand_movies_with_ratings!G484/thousand_movies_with_ratings!I484</f>
        <v>37.874802735402419</v>
      </c>
    </row>
    <row r="485" spans="1:1" x14ac:dyDescent="0.3">
      <c r="A485">
        <f>thousand_movies_with_ratings!G485/thousand_movies_with_ratings!I485</f>
        <v>56.574923547400608</v>
      </c>
    </row>
    <row r="486" spans="1:1" x14ac:dyDescent="0.3">
      <c r="A486">
        <f>thousand_movies_with_ratings!G486/thousand_movies_with_ratings!I486</f>
        <v>56.86205686205686</v>
      </c>
    </row>
    <row r="487" spans="1:1" x14ac:dyDescent="0.3">
      <c r="A487">
        <f>thousand_movies_with_ratings!G487/thousand_movies_with_ratings!I487</f>
        <v>53.132832080200501</v>
      </c>
    </row>
    <row r="488" spans="1:1" x14ac:dyDescent="0.3">
      <c r="A488">
        <f>thousand_movies_with_ratings!G488/thousand_movies_with_ratings!I488</f>
        <v>70.35175879396985</v>
      </c>
    </row>
    <row r="489" spans="1:1" x14ac:dyDescent="0.3">
      <c r="A489">
        <f>thousand_movies_with_ratings!G489/thousand_movies_with_ratings!I489</f>
        <v>35.003977724741446</v>
      </c>
    </row>
    <row r="490" spans="1:1" x14ac:dyDescent="0.3">
      <c r="A490">
        <f>thousand_movies_with_ratings!G490/thousand_movies_with_ratings!I490</f>
        <v>53.398058252427184</v>
      </c>
    </row>
    <row r="491" spans="1:1" x14ac:dyDescent="0.3">
      <c r="A491">
        <f>thousand_movies_with_ratings!G491/thousand_movies_with_ratings!I491</f>
        <v>39.389067524115752</v>
      </c>
    </row>
    <row r="492" spans="1:1" x14ac:dyDescent="0.3">
      <c r="A492">
        <f>thousand_movies_with_ratings!G492/thousand_movies_with_ratings!I492</f>
        <v>51.975051975051976</v>
      </c>
    </row>
    <row r="493" spans="1:1" x14ac:dyDescent="0.3">
      <c r="A493">
        <f>thousand_movies_with_ratings!G493/thousand_movies_with_ratings!I493</f>
        <v>47.892720306513411</v>
      </c>
    </row>
    <row r="494" spans="1:1" x14ac:dyDescent="0.3">
      <c r="A494">
        <f>thousand_movies_with_ratings!G494/thousand_movies_with_ratings!I494</f>
        <v>59.352517985611513</v>
      </c>
    </row>
    <row r="495" spans="1:1" x14ac:dyDescent="0.3">
      <c r="A495">
        <f>thousand_movies_with_ratings!G495/thousand_movies_with_ratings!I495</f>
        <v>36</v>
      </c>
    </row>
    <row r="496" spans="1:1" x14ac:dyDescent="0.3">
      <c r="A496">
        <f>thousand_movies_with_ratings!G496/thousand_movies_with_ratings!I496</f>
        <v>23.027027027027028</v>
      </c>
    </row>
    <row r="497" spans="1:7" x14ac:dyDescent="0.3">
      <c r="A497">
        <f>thousand_movies_with_ratings!G497/thousand_movies_with_ratings!I497</f>
        <v>44.543429844097993</v>
      </c>
    </row>
    <row r="498" spans="1:7" x14ac:dyDescent="0.3">
      <c r="A498">
        <f>thousand_movies_with_ratings!G498/thousand_movies_with_ratings!I498</f>
        <v>26.923939869867624</v>
      </c>
    </row>
    <row r="499" spans="1:7" x14ac:dyDescent="0.3">
      <c r="A499">
        <f>thousand_movies_with_ratings!G499/thousand_movies_with_ratings!I499</f>
        <v>17.472335468841003</v>
      </c>
    </row>
    <row r="500" spans="1:7" x14ac:dyDescent="0.3">
      <c r="A500">
        <f>thousand_movies_with_ratings!G500/thousand_movies_with_ratings!I500</f>
        <v>28.225806451612904</v>
      </c>
    </row>
    <row r="501" spans="1:7" x14ac:dyDescent="0.3">
      <c r="A501">
        <f>thousand_movies_with_ratings!G501/thousand_movies_with_ratings!I501</f>
        <v>18.313253012048193</v>
      </c>
      <c r="G501" s="16"/>
    </row>
    <row r="502" spans="1:7" x14ac:dyDescent="0.3">
      <c r="A502">
        <f>thousand_movies_with_ratings!G502/thousand_movies_with_ratings!I502</f>
        <v>24.530271398747391</v>
      </c>
      <c r="G502" s="16"/>
    </row>
    <row r="503" spans="1:7" x14ac:dyDescent="0.3">
      <c r="A503">
        <f>thousand_movies_with_ratings!G503/thousand_movies_with_ratings!I503</f>
        <v>56.933616820222063</v>
      </c>
    </row>
    <row r="504" spans="1:7" x14ac:dyDescent="0.3">
      <c r="A504">
        <f>thousand_movies_with_ratings!G504/thousand_movies_with_ratings!I504</f>
        <v>42.10526315789474</v>
      </c>
    </row>
    <row r="505" spans="1:7" x14ac:dyDescent="0.3">
      <c r="A505">
        <f>thousand_movies_with_ratings!G505/thousand_movies_with_ratings!I505</f>
        <v>35.001635590448153</v>
      </c>
    </row>
    <row r="506" spans="1:7" x14ac:dyDescent="0.3">
      <c r="A506">
        <f>thousand_movies_with_ratings!G506/thousand_movies_with_ratings!I506</f>
        <v>34.653465346534652</v>
      </c>
    </row>
    <row r="507" spans="1:7" x14ac:dyDescent="0.3">
      <c r="A507">
        <f>thousand_movies_with_ratings!G507/thousand_movies_with_ratings!I507</f>
        <v>27.23404255319149</v>
      </c>
    </row>
    <row r="508" spans="1:7" x14ac:dyDescent="0.3">
      <c r="A508">
        <f>thousand_movies_with_ratings!G508/thousand_movies_with_ratings!I508</f>
        <v>37.615384615384613</v>
      </c>
    </row>
    <row r="509" spans="1:7" x14ac:dyDescent="0.3">
      <c r="A509">
        <f>thousand_movies_with_ratings!G509/thousand_movies_with_ratings!I509</f>
        <v>42.860765914278467</v>
      </c>
    </row>
    <row r="510" spans="1:7" x14ac:dyDescent="0.3">
      <c r="A510">
        <f>thousand_movies_with_ratings!G510/thousand_movies_with_ratings!I510</f>
        <v>35.928143712574851</v>
      </c>
    </row>
    <row r="511" spans="1:7" x14ac:dyDescent="0.3">
      <c r="A511">
        <f>thousand_movies_with_ratings!G511/thousand_movies_with_ratings!I511</f>
        <v>18.312101910828027</v>
      </c>
    </row>
    <row r="512" spans="1:7" x14ac:dyDescent="0.3">
      <c r="A512">
        <f>thousand_movies_with_ratings!G512/thousand_movies_with_ratings!I512</f>
        <v>84.05797101449275</v>
      </c>
    </row>
    <row r="513" spans="1:1" x14ac:dyDescent="0.3">
      <c r="A513">
        <f>thousand_movies_with_ratings!G513/thousand_movies_with_ratings!I513</f>
        <v>91.517857142857139</v>
      </c>
    </row>
    <row r="514" spans="1:1" x14ac:dyDescent="0.3">
      <c r="A514">
        <f>thousand_movies_with_ratings!G514/thousand_movies_with_ratings!I514</f>
        <v>385.96491228070175</v>
      </c>
    </row>
    <row r="515" spans="1:1" x14ac:dyDescent="0.3">
      <c r="A515">
        <f>thousand_movies_with_ratings!G515/thousand_movies_with_ratings!I515</f>
        <v>39.75903614457831</v>
      </c>
    </row>
    <row r="516" spans="1:1" x14ac:dyDescent="0.3">
      <c r="A516">
        <f>thousand_movies_with_ratings!G516/thousand_movies_with_ratings!I516</f>
        <v>51.428571428571431</v>
      </c>
    </row>
    <row r="517" spans="1:1" x14ac:dyDescent="0.3">
      <c r="A517">
        <f>thousand_movies_with_ratings!G517/thousand_movies_with_ratings!I517</f>
        <v>42.519685039370081</v>
      </c>
    </row>
    <row r="518" spans="1:1" x14ac:dyDescent="0.3">
      <c r="A518">
        <f>thousand_movies_with_ratings!G518/thousand_movies_with_ratings!I518</f>
        <v>49.738219895287955</v>
      </c>
    </row>
    <row r="519" spans="1:1" x14ac:dyDescent="0.3">
      <c r="A519">
        <f>thousand_movies_with_ratings!G519/thousand_movies_with_ratings!I519</f>
        <v>43.450479233226837</v>
      </c>
    </row>
    <row r="520" spans="1:1" x14ac:dyDescent="0.3">
      <c r="A520">
        <f>thousand_movies_with_ratings!G520/thousand_movies_with_ratings!I520</f>
        <v>32.5</v>
      </c>
    </row>
    <row r="521" spans="1:1" x14ac:dyDescent="0.3">
      <c r="A521">
        <f>thousand_movies_with_ratings!G521/thousand_movies_with_ratings!I521</f>
        <v>34.764826175869118</v>
      </c>
    </row>
    <row r="522" spans="1:1" x14ac:dyDescent="0.3">
      <c r="A522">
        <f>thousand_movies_with_ratings!G522/thousand_movies_with_ratings!I522</f>
        <v>64.89444878811571</v>
      </c>
    </row>
    <row r="523" spans="1:1" x14ac:dyDescent="0.3">
      <c r="A523">
        <f>thousand_movies_with_ratings!G523/thousand_movies_with_ratings!I523</f>
        <v>28.112449799196789</v>
      </c>
    </row>
    <row r="524" spans="1:1" x14ac:dyDescent="0.3">
      <c r="A524">
        <f>thousand_movies_with_ratings!G524/thousand_movies_with_ratings!I524</f>
        <v>41.91616766467066</v>
      </c>
    </row>
    <row r="525" spans="1:1" x14ac:dyDescent="0.3">
      <c r="A525">
        <f>thousand_movies_with_ratings!G525/thousand_movies_with_ratings!I525</f>
        <v>39.301310043668124</v>
      </c>
    </row>
    <row r="526" spans="1:1" x14ac:dyDescent="0.3">
      <c r="A526">
        <f>thousand_movies_with_ratings!G526/thousand_movies_with_ratings!I526</f>
        <v>39.130434782608695</v>
      </c>
    </row>
    <row r="527" spans="1:1" x14ac:dyDescent="0.3">
      <c r="A527">
        <f>thousand_movies_with_ratings!G527/thousand_movies_with_ratings!I527</f>
        <v>40.186915887850468</v>
      </c>
    </row>
    <row r="528" spans="1:1" x14ac:dyDescent="0.3">
      <c r="A528">
        <f>thousand_movies_with_ratings!G528/thousand_movies_with_ratings!I528</f>
        <v>34.042553191489361</v>
      </c>
    </row>
    <row r="529" spans="1:1" x14ac:dyDescent="0.3">
      <c r="A529">
        <f>thousand_movies_with_ratings!G529/thousand_movies_with_ratings!I529</f>
        <v>23.376623376623378</v>
      </c>
    </row>
    <row r="530" spans="1:1" x14ac:dyDescent="0.3">
      <c r="A530">
        <f>thousand_movies_with_ratings!G530/thousand_movies_with_ratings!I530</f>
        <v>33.85826771653543</v>
      </c>
    </row>
    <row r="531" spans="1:1" x14ac:dyDescent="0.3">
      <c r="A531">
        <f>thousand_movies_with_ratings!G531/thousand_movies_with_ratings!I531</f>
        <v>38.613861386138616</v>
      </c>
    </row>
    <row r="532" spans="1:1" x14ac:dyDescent="0.3">
      <c r="A532">
        <f>thousand_movies_with_ratings!G532/thousand_movies_with_ratings!I532</f>
        <v>25.531914893617021</v>
      </c>
    </row>
    <row r="533" spans="1:1" x14ac:dyDescent="0.3">
      <c r="A533">
        <f>thousand_movies_with_ratings!G533/thousand_movies_with_ratings!I533</f>
        <v>84.388185654008439</v>
      </c>
    </row>
    <row r="534" spans="1:1" x14ac:dyDescent="0.3">
      <c r="A534">
        <f>thousand_movies_with_ratings!G534/thousand_movies_with_ratings!I534</f>
        <v>29.263370332996974</v>
      </c>
    </row>
    <row r="535" spans="1:1" x14ac:dyDescent="0.3">
      <c r="A535">
        <f>thousand_movies_with_ratings!G535/thousand_movies_with_ratings!I535</f>
        <v>46.661880832735108</v>
      </c>
    </row>
    <row r="536" spans="1:1" x14ac:dyDescent="0.3">
      <c r="A536">
        <f>thousand_movies_with_ratings!G536/thousand_movies_with_ratings!I536</f>
        <v>57.101024890190338</v>
      </c>
    </row>
    <row r="537" spans="1:1" x14ac:dyDescent="0.3">
      <c r="A537">
        <f>thousand_movies_with_ratings!G537/thousand_movies_with_ratings!I537</f>
        <v>39.210309843707158</v>
      </c>
    </row>
    <row r="538" spans="1:1" x14ac:dyDescent="0.3">
      <c r="A538">
        <f>thousand_movies_with_ratings!G538/thousand_movies_with_ratings!I538</f>
        <v>53.082890975908533</v>
      </c>
    </row>
    <row r="539" spans="1:1" x14ac:dyDescent="0.3">
      <c r="A539">
        <f>thousand_movies_with_ratings!G539/thousand_movies_with_ratings!I539</f>
        <v>61.788617886178862</v>
      </c>
    </row>
    <row r="540" spans="1:1" x14ac:dyDescent="0.3">
      <c r="A540">
        <f>thousand_movies_with_ratings!G540/thousand_movies_with_ratings!I540</f>
        <v>37.960177624982094</v>
      </c>
    </row>
    <row r="541" spans="1:1" x14ac:dyDescent="0.3">
      <c r="A541">
        <f>thousand_movies_with_ratings!G541/thousand_movies_with_ratings!I541</f>
        <v>27.758620689655171</v>
      </c>
    </row>
    <row r="542" spans="1:1" x14ac:dyDescent="0.3">
      <c r="A542">
        <f>thousand_movies_with_ratings!G542/thousand_movies_with_ratings!I542</f>
        <v>19.672131147540984</v>
      </c>
    </row>
    <row r="543" spans="1:1" x14ac:dyDescent="0.3">
      <c r="A543">
        <f>thousand_movies_with_ratings!G543/thousand_movies_with_ratings!I543</f>
        <v>3.5231481481481484</v>
      </c>
    </row>
    <row r="544" spans="1:1" x14ac:dyDescent="0.3">
      <c r="A544">
        <f>thousand_movies_with_ratings!G544/thousand_movies_with_ratings!I544</f>
        <v>35.377358490566039</v>
      </c>
    </row>
    <row r="545" spans="1:1" x14ac:dyDescent="0.3">
      <c r="A545">
        <f>thousand_movies_with_ratings!G545/thousand_movies_with_ratings!I545</f>
        <v>64.714285714285708</v>
      </c>
    </row>
    <row r="546" spans="1:1" x14ac:dyDescent="0.3">
      <c r="A546">
        <f>thousand_movies_with_ratings!G546/thousand_movies_with_ratings!I546</f>
        <v>47.012732615083252</v>
      </c>
    </row>
    <row r="547" spans="1:1" x14ac:dyDescent="0.3">
      <c r="A547">
        <f>thousand_movies_with_ratings!G547/thousand_movies_with_ratings!I547</f>
        <v>55.105348460291737</v>
      </c>
    </row>
    <row r="548" spans="1:1" x14ac:dyDescent="0.3">
      <c r="A548">
        <f>thousand_movies_with_ratings!G548/thousand_movies_with_ratings!I548</f>
        <v>25.675675675675677</v>
      </c>
    </row>
    <row r="549" spans="1:1" x14ac:dyDescent="0.3">
      <c r="A549">
        <f>thousand_movies_with_ratings!G549/thousand_movies_with_ratings!I549</f>
        <v>55.708390646492433</v>
      </c>
    </row>
    <row r="550" spans="1:1" x14ac:dyDescent="0.3">
      <c r="A550">
        <f>thousand_movies_with_ratings!G550/thousand_movies_with_ratings!I550</f>
        <v>35.830618892508141</v>
      </c>
    </row>
    <row r="551" spans="1:1" x14ac:dyDescent="0.3">
      <c r="A551">
        <f>thousand_movies_with_ratings!G551/thousand_movies_with_ratings!I551</f>
        <v>35.272727272727273</v>
      </c>
    </row>
    <row r="552" spans="1:1" x14ac:dyDescent="0.3">
      <c r="A552">
        <f>thousand_movies_with_ratings!G552/thousand_movies_with_ratings!I552</f>
        <v>83.035714285714292</v>
      </c>
    </row>
    <row r="553" spans="1:1" x14ac:dyDescent="0.3">
      <c r="A553">
        <f>thousand_movies_with_ratings!G553/thousand_movies_with_ratings!I553</f>
        <v>39.309683604985615</v>
      </c>
    </row>
    <row r="554" spans="1:1" x14ac:dyDescent="0.3">
      <c r="A554">
        <f>thousand_movies_with_ratings!G554/thousand_movies_with_ratings!I554</f>
        <v>37.328094302554028</v>
      </c>
    </row>
    <row r="555" spans="1:1" x14ac:dyDescent="0.3">
      <c r="A555">
        <f>thousand_movies_with_ratings!G555/thousand_movies_with_ratings!I555</f>
        <v>50</v>
      </c>
    </row>
    <row r="556" spans="1:1" x14ac:dyDescent="0.3">
      <c r="A556">
        <f>thousand_movies_with_ratings!G556/thousand_movies_with_ratings!I556</f>
        <v>28</v>
      </c>
    </row>
    <row r="557" spans="1:1" x14ac:dyDescent="0.3">
      <c r="A557">
        <f>thousand_movies_with_ratings!G557/thousand_movies_with_ratings!I557</f>
        <v>54.160125588697021</v>
      </c>
    </row>
    <row r="558" spans="1:1" x14ac:dyDescent="0.3">
      <c r="A558">
        <f>thousand_movies_with_ratings!G558/thousand_movies_with_ratings!I558</f>
        <v>71.428571428571431</v>
      </c>
    </row>
    <row r="559" spans="1:1" x14ac:dyDescent="0.3">
      <c r="A559">
        <f>thousand_movies_with_ratings!G559/thousand_movies_with_ratings!I559</f>
        <v>27.5</v>
      </c>
    </row>
    <row r="560" spans="1:1" x14ac:dyDescent="0.3">
      <c r="A560">
        <f>thousand_movies_with_ratings!G560/thousand_movies_with_ratings!I560</f>
        <v>43.589743589743591</v>
      </c>
    </row>
    <row r="561" spans="1:1" x14ac:dyDescent="0.3">
      <c r="A561">
        <f>thousand_movies_with_ratings!G561/thousand_movies_with_ratings!I561</f>
        <v>44.876886417791901</v>
      </c>
    </row>
    <row r="562" spans="1:1" x14ac:dyDescent="0.3">
      <c r="A562">
        <f>thousand_movies_with_ratings!G562/thousand_movies_with_ratings!I562</f>
        <v>60.028248587570623</v>
      </c>
    </row>
    <row r="563" spans="1:1" x14ac:dyDescent="0.3">
      <c r="A563">
        <f>thousand_movies_with_ratings!G563/thousand_movies_with_ratings!I563</f>
        <v>31.313131313131311</v>
      </c>
    </row>
    <row r="564" spans="1:1" x14ac:dyDescent="0.3">
      <c r="A564">
        <f>thousand_movies_with_ratings!G564/thousand_movies_with_ratings!I564</f>
        <v>36.407766990291265</v>
      </c>
    </row>
    <row r="565" spans="1:1" x14ac:dyDescent="0.3">
      <c r="A565">
        <f>thousand_movies_with_ratings!G565/thousand_movies_with_ratings!I565</f>
        <v>34.629728289824186</v>
      </c>
    </row>
    <row r="566" spans="1:1" x14ac:dyDescent="0.3">
      <c r="A566">
        <f>thousand_movies_with_ratings!G566/thousand_movies_with_ratings!I566</f>
        <v>15.535714285714286</v>
      </c>
    </row>
    <row r="567" spans="1:1" x14ac:dyDescent="0.3">
      <c r="A567">
        <f>thousand_movies_with_ratings!G567/thousand_movies_with_ratings!I567</f>
        <v>23.300970873786408</v>
      </c>
    </row>
    <row r="568" spans="1:1" x14ac:dyDescent="0.3">
      <c r="A568">
        <f>thousand_movies_with_ratings!G568/thousand_movies_with_ratings!I568</f>
        <v>47.287899860917939</v>
      </c>
    </row>
    <row r="569" spans="1:1" x14ac:dyDescent="0.3">
      <c r="A569">
        <f>thousand_movies_with_ratings!G569/thousand_movies_with_ratings!I569</f>
        <v>60</v>
      </c>
    </row>
    <row r="570" spans="1:1" x14ac:dyDescent="0.3">
      <c r="A570">
        <f>thousand_movies_with_ratings!G570/thousand_movies_with_ratings!I570</f>
        <v>50.324675324675326</v>
      </c>
    </row>
    <row r="571" spans="1:1" x14ac:dyDescent="0.3">
      <c r="A571">
        <f>thousand_movies_with_ratings!G571/thousand_movies_with_ratings!I571</f>
        <v>17.631103074141048</v>
      </c>
    </row>
    <row r="572" spans="1:1" x14ac:dyDescent="0.3">
      <c r="A572">
        <f>thousand_movies_with_ratings!G572/thousand_movies_with_ratings!I572</f>
        <v>71.946986431050803</v>
      </c>
    </row>
    <row r="573" spans="1:1" x14ac:dyDescent="0.3">
      <c r="A573">
        <f>thousand_movies_with_ratings!G573/thousand_movies_with_ratings!I573</f>
        <v>38.46153846153846</v>
      </c>
    </row>
    <row r="574" spans="1:1" x14ac:dyDescent="0.3">
      <c r="A574">
        <f>thousand_movies_with_ratings!G574/thousand_movies_with_ratings!I574</f>
        <v>28.260454458659538</v>
      </c>
    </row>
    <row r="575" spans="1:1" x14ac:dyDescent="0.3">
      <c r="A575">
        <f>thousand_movies_with_ratings!G575/thousand_movies_with_ratings!I575</f>
        <v>49.586776859504134</v>
      </c>
    </row>
    <row r="576" spans="1:1" x14ac:dyDescent="0.3">
      <c r="A576">
        <f>thousand_movies_with_ratings!G576/thousand_movies_with_ratings!I576</f>
        <v>33.888888888888886</v>
      </c>
    </row>
    <row r="577" spans="1:1" x14ac:dyDescent="0.3">
      <c r="A577">
        <f>thousand_movies_with_ratings!G577/thousand_movies_with_ratings!I577</f>
        <v>49.975502204801565</v>
      </c>
    </row>
    <row r="578" spans="1:1" x14ac:dyDescent="0.3">
      <c r="A578">
        <f>thousand_movies_with_ratings!G578/thousand_movies_with_ratings!I578</f>
        <v>4.9230769230769234</v>
      </c>
    </row>
    <row r="579" spans="1:1" x14ac:dyDescent="0.3">
      <c r="A579">
        <f>thousand_movies_with_ratings!G579/thousand_movies_with_ratings!I579</f>
        <v>25.806451612903224</v>
      </c>
    </row>
    <row r="580" spans="1:1" x14ac:dyDescent="0.3">
      <c r="A580">
        <f>thousand_movies_with_ratings!G580/thousand_movies_with_ratings!I580</f>
        <v>31.838565022421523</v>
      </c>
    </row>
    <row r="581" spans="1:1" x14ac:dyDescent="0.3">
      <c r="A581">
        <f>thousand_movies_with_ratings!G581/thousand_movies_with_ratings!I581</f>
        <v>32.520325203252035</v>
      </c>
    </row>
    <row r="582" spans="1:1" x14ac:dyDescent="0.3">
      <c r="A582">
        <f>thousand_movies_with_ratings!G582/thousand_movies_with_ratings!I582</f>
        <v>84.261838440111418</v>
      </c>
    </row>
    <row r="583" spans="1:1" x14ac:dyDescent="0.3">
      <c r="A583">
        <f>thousand_movies_with_ratings!G583/thousand_movies_with_ratings!I583</f>
        <v>37.962962962962962</v>
      </c>
    </row>
    <row r="584" spans="1:1" x14ac:dyDescent="0.3">
      <c r="A584">
        <f>thousand_movies_with_ratings!G584/thousand_movies_with_ratings!I584</f>
        <v>30.693069306930692</v>
      </c>
    </row>
    <row r="585" spans="1:1" x14ac:dyDescent="0.3">
      <c r="A585">
        <f>thousand_movies_with_ratings!G585/thousand_movies_with_ratings!I585</f>
        <v>10.80074487895717</v>
      </c>
    </row>
    <row r="586" spans="1:1" x14ac:dyDescent="0.3">
      <c r="A586">
        <f>thousand_movies_with_ratings!G586/thousand_movies_with_ratings!I586</f>
        <v>38.834951456310677</v>
      </c>
    </row>
    <row r="587" spans="1:1" x14ac:dyDescent="0.3">
      <c r="A587">
        <f>thousand_movies_with_ratings!G587/thousand_movies_with_ratings!I587</f>
        <v>34.090909090909093</v>
      </c>
    </row>
    <row r="588" spans="1:1" x14ac:dyDescent="0.3">
      <c r="A588">
        <f>thousand_movies_with_ratings!G588/thousand_movies_with_ratings!I588</f>
        <v>26.234567901234566</v>
      </c>
    </row>
    <row r="589" spans="1:1" x14ac:dyDescent="0.3">
      <c r="A589">
        <f>thousand_movies_with_ratings!G589/thousand_movies_with_ratings!I589</f>
        <v>43.256997455470739</v>
      </c>
    </row>
    <row r="590" spans="1:1" x14ac:dyDescent="0.3">
      <c r="A590">
        <f>thousand_movies_with_ratings!G590/thousand_movies_with_ratings!I590</f>
        <v>70.972320794889995</v>
      </c>
    </row>
    <row r="591" spans="1:1" x14ac:dyDescent="0.3">
      <c r="A591">
        <f>thousand_movies_with_ratings!G591/thousand_movies_with_ratings!I591</f>
        <v>84.615384615384613</v>
      </c>
    </row>
    <row r="592" spans="1:1" x14ac:dyDescent="0.3">
      <c r="A592">
        <f>thousand_movies_with_ratings!G592/thousand_movies_with_ratings!I592</f>
        <v>8.172531214528945</v>
      </c>
    </row>
    <row r="593" spans="1:1" x14ac:dyDescent="0.3">
      <c r="A593">
        <f>thousand_movies_with_ratings!G593/thousand_movies_with_ratings!I593</f>
        <v>46.252927400468387</v>
      </c>
    </row>
    <row r="594" spans="1:1" x14ac:dyDescent="0.3">
      <c r="A594">
        <f>thousand_movies_with_ratings!G594/thousand_movies_with_ratings!I594</f>
        <v>37.333333333333336</v>
      </c>
    </row>
    <row r="595" spans="1:1" x14ac:dyDescent="0.3">
      <c r="A595">
        <f>thousand_movies_with_ratings!G595/thousand_movies_with_ratings!I595</f>
        <v>1.9647058823529411</v>
      </c>
    </row>
    <row r="596" spans="1:1" x14ac:dyDescent="0.3">
      <c r="A596">
        <f>thousand_movies_with_ratings!G596/thousand_movies_with_ratings!I596</f>
        <v>14.375</v>
      </c>
    </row>
    <row r="597" spans="1:1" x14ac:dyDescent="0.3">
      <c r="A597">
        <f>thousand_movies_with_ratings!G597/thousand_movies_with_ratings!I597</f>
        <v>24.630541871921181</v>
      </c>
    </row>
    <row r="598" spans="1:1" x14ac:dyDescent="0.3">
      <c r="A598">
        <f>thousand_movies_with_ratings!G598/thousand_movies_with_ratings!I598</f>
        <v>46.586345381526101</v>
      </c>
    </row>
    <row r="599" spans="1:1" x14ac:dyDescent="0.3">
      <c r="A599">
        <f>thousand_movies_with_ratings!G599/thousand_movies_with_ratings!I599</f>
        <v>57.608695652173914</v>
      </c>
    </row>
    <row r="600" spans="1:1" x14ac:dyDescent="0.3">
      <c r="A600">
        <f>thousand_movies_with_ratings!G600/thousand_movies_with_ratings!I600</f>
        <v>19.425920556683096</v>
      </c>
    </row>
    <row r="601" spans="1:1" x14ac:dyDescent="0.3">
      <c r="A601">
        <f>thousand_movies_with_ratings!G601/thousand_movies_with_ratings!I601</f>
        <v>37.162982754432839</v>
      </c>
    </row>
    <row r="602" spans="1:1" x14ac:dyDescent="0.3">
      <c r="A602">
        <f>thousand_movies_with_ratings!G602/thousand_movies_with_ratings!I602</f>
        <v>53.352912383749391</v>
      </c>
    </row>
    <row r="603" spans="1:1" x14ac:dyDescent="0.3">
      <c r="A603">
        <f>thousand_movies_with_ratings!G603/thousand_movies_with_ratings!I603</f>
        <v>51.104604737822733</v>
      </c>
    </row>
    <row r="604" spans="1:1" x14ac:dyDescent="0.3">
      <c r="A604">
        <f>thousand_movies_with_ratings!G604/thousand_movies_with_ratings!I604</f>
        <v>36.585365853658537</v>
      </c>
    </row>
    <row r="605" spans="1:1" x14ac:dyDescent="0.3">
      <c r="A605">
        <f>thousand_movies_with_ratings!G605/thousand_movies_with_ratings!I605</f>
        <v>47.008547008547012</v>
      </c>
    </row>
    <row r="606" spans="1:1" x14ac:dyDescent="0.3">
      <c r="A606">
        <f>thousand_movies_with_ratings!G606/thousand_movies_with_ratings!I606</f>
        <v>46.192893401015226</v>
      </c>
    </row>
    <row r="607" spans="1:1" x14ac:dyDescent="0.3">
      <c r="A607">
        <f>thousand_movies_with_ratings!G607/thousand_movies_with_ratings!I607</f>
        <v>20.037037037037038</v>
      </c>
    </row>
    <row r="608" spans="1:1" x14ac:dyDescent="0.3">
      <c r="A608">
        <f>thousand_movies_with_ratings!G608/thousand_movies_with_ratings!I608</f>
        <v>39.75903614457831</v>
      </c>
    </row>
    <row r="609" spans="1:1" x14ac:dyDescent="0.3">
      <c r="A609">
        <f>thousand_movies_with_ratings!G609/thousand_movies_with_ratings!I609</f>
        <v>41.53940134392181</v>
      </c>
    </row>
    <row r="610" spans="1:1" x14ac:dyDescent="0.3">
      <c r="A610">
        <f>thousand_movies_with_ratings!G610/thousand_movies_with_ratings!I610</f>
        <v>48.192771084337352</v>
      </c>
    </row>
    <row r="611" spans="1:1" x14ac:dyDescent="0.3">
      <c r="A611">
        <f>thousand_movies_with_ratings!G611/thousand_movies_with_ratings!I611</f>
        <v>50.647548566142461</v>
      </c>
    </row>
    <row r="612" spans="1:1" x14ac:dyDescent="0.3">
      <c r="A612">
        <f>thousand_movies_with_ratings!G612/thousand_movies_with_ratings!I612</f>
        <v>51.428571428571431</v>
      </c>
    </row>
    <row r="613" spans="1:1" x14ac:dyDescent="0.3">
      <c r="A613">
        <f>thousand_movies_with_ratings!G613/thousand_movies_with_ratings!I613</f>
        <v>43.11926605504587</v>
      </c>
    </row>
    <row r="614" spans="1:1" x14ac:dyDescent="0.3">
      <c r="A614">
        <f>thousand_movies_with_ratings!G614/thousand_movies_with_ratings!I614</f>
        <v>32.064128256513023</v>
      </c>
    </row>
    <row r="615" spans="1:1" x14ac:dyDescent="0.3">
      <c r="A615">
        <f>thousand_movies_with_ratings!G615/thousand_movies_with_ratings!I615</f>
        <v>37.239868565169772</v>
      </c>
    </row>
    <row r="616" spans="1:1" x14ac:dyDescent="0.3">
      <c r="A616">
        <f>thousand_movies_with_ratings!G616/thousand_movies_with_ratings!I616</f>
        <v>53.793884484711214</v>
      </c>
    </row>
    <row r="617" spans="1:1" x14ac:dyDescent="0.3">
      <c r="A617">
        <f>thousand_movies_with_ratings!G617/thousand_movies_with_ratings!I617</f>
        <v>73.72654155495978</v>
      </c>
    </row>
    <row r="618" spans="1:1" x14ac:dyDescent="0.3">
      <c r="A618">
        <f>thousand_movies_with_ratings!G618/thousand_movies_with_ratings!I618</f>
        <v>43.583535108958834</v>
      </c>
    </row>
    <row r="619" spans="1:1" x14ac:dyDescent="0.3">
      <c r="A619">
        <f>thousand_movies_with_ratings!G619/thousand_movies_with_ratings!I619</f>
        <v>40</v>
      </c>
    </row>
    <row r="620" spans="1:1" x14ac:dyDescent="0.3">
      <c r="A620">
        <f>thousand_movies_with_ratings!G620/thousand_movies_with_ratings!I620</f>
        <v>47.182175622542594</v>
      </c>
    </row>
    <row r="621" spans="1:1" x14ac:dyDescent="0.3">
      <c r="A621">
        <f>thousand_movies_with_ratings!G621/thousand_movies_with_ratings!I621</f>
        <v>22.3292469352014</v>
      </c>
    </row>
    <row r="622" spans="1:1" x14ac:dyDescent="0.3">
      <c r="A622">
        <f>thousand_movies_with_ratings!G622/thousand_movies_with_ratings!I622</f>
        <v>1988.8888888888889</v>
      </c>
    </row>
    <row r="623" spans="1:1" x14ac:dyDescent="0.3">
      <c r="A623">
        <f>thousand_movies_with_ratings!G623/thousand_movies_with_ratings!I623</f>
        <v>24.341279799247175</v>
      </c>
    </row>
    <row r="624" spans="1:1" x14ac:dyDescent="0.3">
      <c r="A624">
        <f>thousand_movies_with_ratings!G624/thousand_movies_with_ratings!I624</f>
        <v>55.011303692539563</v>
      </c>
    </row>
    <row r="625" spans="1:1" x14ac:dyDescent="0.3">
      <c r="A625">
        <f>thousand_movies_with_ratings!G625/thousand_movies_with_ratings!I625</f>
        <v>18.047438982468201</v>
      </c>
    </row>
    <row r="626" spans="1:1" x14ac:dyDescent="0.3">
      <c r="A626">
        <f>thousand_movies_with_ratings!G626/thousand_movies_with_ratings!I626</f>
        <v>40.336134453781511</v>
      </c>
    </row>
    <row r="627" spans="1:1" x14ac:dyDescent="0.3">
      <c r="A627">
        <f>thousand_movies_with_ratings!G627/thousand_movies_with_ratings!I627</f>
        <v>38.053097345132741</v>
      </c>
    </row>
    <row r="628" spans="1:1" x14ac:dyDescent="0.3">
      <c r="A628">
        <f>thousand_movies_with_ratings!G628/thousand_movies_with_ratings!I628</f>
        <v>72.013093289689039</v>
      </c>
    </row>
    <row r="629" spans="1:1" x14ac:dyDescent="0.3">
      <c r="A629">
        <f>thousand_movies_with_ratings!G629/thousand_movies_with_ratings!I629</f>
        <v>52.112676056338032</v>
      </c>
    </row>
    <row r="630" spans="1:1" x14ac:dyDescent="0.3">
      <c r="A630">
        <f>thousand_movies_with_ratings!G630/thousand_movies_with_ratings!I630</f>
        <v>70.370370370370367</v>
      </c>
    </row>
    <row r="631" spans="1:1" x14ac:dyDescent="0.3">
      <c r="A631">
        <f>thousand_movies_with_ratings!G631/thousand_movies_with_ratings!I631</f>
        <v>48.979591836734691</v>
      </c>
    </row>
    <row r="632" spans="1:1" x14ac:dyDescent="0.3">
      <c r="A632">
        <f>thousand_movies_with_ratings!G632/thousand_movies_with_ratings!I632</f>
        <v>52.395209580838326</v>
      </c>
    </row>
    <row r="633" spans="1:1" x14ac:dyDescent="0.3">
      <c r="A633">
        <f>thousand_movies_with_ratings!G633/thousand_movies_with_ratings!I633</f>
        <v>30.33175355450237</v>
      </c>
    </row>
    <row r="634" spans="1:1" x14ac:dyDescent="0.3">
      <c r="A634">
        <f>thousand_movies_with_ratings!G634/thousand_movies_with_ratings!I634</f>
        <v>43.30708661417323</v>
      </c>
    </row>
    <row r="635" spans="1:1" x14ac:dyDescent="0.3">
      <c r="A635">
        <f>thousand_movies_with_ratings!G635/thousand_movies_with_ratings!I635</f>
        <v>26.651216685979144</v>
      </c>
    </row>
    <row r="636" spans="1:1" x14ac:dyDescent="0.3">
      <c r="A636">
        <f>thousand_movies_with_ratings!G636/thousand_movies_with_ratings!I636</f>
        <v>44.453676776069798</v>
      </c>
    </row>
    <row r="637" spans="1:1" x14ac:dyDescent="0.3">
      <c r="A637">
        <f>thousand_movies_with_ratings!G637/thousand_movies_with_ratings!I637</f>
        <v>50.328677074774035</v>
      </c>
    </row>
    <row r="638" spans="1:1" x14ac:dyDescent="0.3">
      <c r="A638">
        <f>thousand_movies_with_ratings!G638/thousand_movies_with_ratings!I638</f>
        <v>70.588235294117652</v>
      </c>
    </row>
    <row r="639" spans="1:1" x14ac:dyDescent="0.3">
      <c r="A639">
        <f>thousand_movies_with_ratings!G639/thousand_movies_with_ratings!I639</f>
        <v>48.962213943587017</v>
      </c>
    </row>
    <row r="640" spans="1:1" x14ac:dyDescent="0.3">
      <c r="A640">
        <f>thousand_movies_with_ratings!G640/thousand_movies_with_ratings!I640</f>
        <v>50.89911612313319</v>
      </c>
    </row>
    <row r="641" spans="1:1" x14ac:dyDescent="0.3">
      <c r="A641">
        <f>thousand_movies_with_ratings!G641/thousand_movies_with_ratings!I641</f>
        <v>54.868624420401858</v>
      </c>
    </row>
    <row r="642" spans="1:1" x14ac:dyDescent="0.3">
      <c r="A642">
        <f>thousand_movies_with_ratings!G642/thousand_movies_with_ratings!I642</f>
        <v>46.004842615012109</v>
      </c>
    </row>
    <row r="643" spans="1:1" x14ac:dyDescent="0.3">
      <c r="A643">
        <f>thousand_movies_with_ratings!G643/thousand_movies_with_ratings!I643</f>
        <v>39.226519337016576</v>
      </c>
    </row>
    <row r="644" spans="1:1" x14ac:dyDescent="0.3">
      <c r="A644">
        <f>thousand_movies_with_ratings!G644/thousand_movies_with_ratings!I644</f>
        <v>64.00742115027829</v>
      </c>
    </row>
    <row r="645" spans="1:1" x14ac:dyDescent="0.3">
      <c r="A645">
        <f>thousand_movies_with_ratings!G645/thousand_movies_with_ratings!I645</f>
        <v>43.592264831202883</v>
      </c>
    </row>
    <row r="646" spans="1:1" x14ac:dyDescent="0.3">
      <c r="A646">
        <f>thousand_movies_with_ratings!G646/thousand_movies_with_ratings!I646</f>
        <v>66.518847006651882</v>
      </c>
    </row>
    <row r="647" spans="1:1" x14ac:dyDescent="0.3">
      <c r="A647">
        <f>thousand_movies_with_ratings!G647/thousand_movies_with_ratings!I647</f>
        <v>44.155844155844157</v>
      </c>
    </row>
    <row r="648" spans="1:1" x14ac:dyDescent="0.3">
      <c r="A648">
        <f>thousand_movies_with_ratings!G648/thousand_movies_with_ratings!I648</f>
        <v>57.51258087706686</v>
      </c>
    </row>
    <row r="649" spans="1:1" x14ac:dyDescent="0.3">
      <c r="A649">
        <f>thousand_movies_with_ratings!G649/thousand_movies_with_ratings!I649</f>
        <v>42.666666666666664</v>
      </c>
    </row>
    <row r="650" spans="1:1" x14ac:dyDescent="0.3">
      <c r="A650">
        <f>thousand_movies_with_ratings!G650/thousand_movies_with_ratings!I650</f>
        <v>53.830227743271223</v>
      </c>
    </row>
    <row r="651" spans="1:1" x14ac:dyDescent="0.3">
      <c r="A651">
        <f>thousand_movies_with_ratings!G651/thousand_movies_with_ratings!I651</f>
        <v>34.602076124567475</v>
      </c>
    </row>
    <row r="652" spans="1:1" x14ac:dyDescent="0.3">
      <c r="A652">
        <f>thousand_movies_with_ratings!G652/thousand_movies_with_ratings!I652</f>
        <v>26.153846153846153</v>
      </c>
    </row>
    <row r="653" spans="1:1" x14ac:dyDescent="0.3">
      <c r="A653">
        <f>thousand_movies_with_ratings!G653/thousand_movies_with_ratings!I653</f>
        <v>51.428571428571431</v>
      </c>
    </row>
    <row r="654" spans="1:1" x14ac:dyDescent="0.3">
      <c r="A654">
        <f>thousand_movies_with_ratings!G654/thousand_movies_with_ratings!I654</f>
        <v>37.804878048780488</v>
      </c>
    </row>
    <row r="655" spans="1:1" x14ac:dyDescent="0.3">
      <c r="A655">
        <f>thousand_movies_with_ratings!G655/thousand_movies_with_ratings!I655</f>
        <v>29.89627821842587</v>
      </c>
    </row>
    <row r="656" spans="1:1" x14ac:dyDescent="0.3">
      <c r="A656">
        <f>thousand_movies_with_ratings!G656/thousand_movies_with_ratings!I656</f>
        <v>54.545454545454547</v>
      </c>
    </row>
    <row r="657" spans="1:1" x14ac:dyDescent="0.3">
      <c r="A657">
        <f>thousand_movies_with_ratings!G657/thousand_movies_with_ratings!I657</f>
        <v>11.850501367365542</v>
      </c>
    </row>
    <row r="658" spans="1:1" x14ac:dyDescent="0.3">
      <c r="A658">
        <f>thousand_movies_with_ratings!G658/thousand_movies_with_ratings!I658</f>
        <v>49.418604651162788</v>
      </c>
    </row>
    <row r="659" spans="1:1" x14ac:dyDescent="0.3">
      <c r="A659">
        <f>thousand_movies_with_ratings!G659/thousand_movies_with_ratings!I659</f>
        <v>30.939226519337016</v>
      </c>
    </row>
    <row r="660" spans="1:1" x14ac:dyDescent="0.3">
      <c r="A660">
        <f>thousand_movies_with_ratings!G660/thousand_movies_with_ratings!I660</f>
        <v>20.061728395061728</v>
      </c>
    </row>
    <row r="661" spans="1:1" x14ac:dyDescent="0.3">
      <c r="A661">
        <f>thousand_movies_with_ratings!G661/thousand_movies_with_ratings!I661</f>
        <v>25.925925925925927</v>
      </c>
    </row>
    <row r="662" spans="1:1" x14ac:dyDescent="0.3">
      <c r="A662">
        <f>thousand_movies_with_ratings!G662/thousand_movies_with_ratings!I662</f>
        <v>25.880661394680086</v>
      </c>
    </row>
    <row r="663" spans="1:1" x14ac:dyDescent="0.3">
      <c r="A663">
        <f>thousand_movies_with_ratings!G663/thousand_movies_with_ratings!I663</f>
        <v>40.998217468805706</v>
      </c>
    </row>
    <row r="664" spans="1:1" x14ac:dyDescent="0.3">
      <c r="A664">
        <f>thousand_movies_with_ratings!G664/thousand_movies_with_ratings!I664</f>
        <v>18.518518518518519</v>
      </c>
    </row>
    <row r="665" spans="1:1" x14ac:dyDescent="0.3">
      <c r="A665">
        <f>thousand_movies_with_ratings!G665/thousand_movies_with_ratings!I665</f>
        <v>44.849537037037038</v>
      </c>
    </row>
    <row r="666" spans="1:1" x14ac:dyDescent="0.3">
      <c r="A666">
        <f>thousand_movies_with_ratings!G666/thousand_movies_with_ratings!I666</f>
        <v>30.141843971631207</v>
      </c>
    </row>
    <row r="667" spans="1:1" x14ac:dyDescent="0.3">
      <c r="A667">
        <f>thousand_movies_with_ratings!G667/thousand_movies_with_ratings!I667</f>
        <v>57.934508816120903</v>
      </c>
    </row>
    <row r="668" spans="1:1" x14ac:dyDescent="0.3">
      <c r="A668">
        <f>thousand_movies_with_ratings!G668/thousand_movies_with_ratings!I668</f>
        <v>52.654387865655472</v>
      </c>
    </row>
    <row r="669" spans="1:1" x14ac:dyDescent="0.3">
      <c r="A669">
        <f>thousand_movies_with_ratings!G669/thousand_movies_with_ratings!I669</f>
        <v>1.48747591522158</v>
      </c>
    </row>
    <row r="670" spans="1:1" x14ac:dyDescent="0.3">
      <c r="A670">
        <f>thousand_movies_with_ratings!G670/thousand_movies_with_ratings!I670</f>
        <v>57.774607703281028</v>
      </c>
    </row>
    <row r="671" spans="1:1" x14ac:dyDescent="0.3">
      <c r="A671">
        <f>thousand_movies_with_ratings!G671/thousand_movies_with_ratings!I671</f>
        <v>44.162129461584996</v>
      </c>
    </row>
    <row r="672" spans="1:1" x14ac:dyDescent="0.3">
      <c r="A672">
        <f>thousand_movies_with_ratings!G672/thousand_movies_with_ratings!I672</f>
        <v>46.903553299492387</v>
      </c>
    </row>
    <row r="673" spans="1:1" x14ac:dyDescent="0.3">
      <c r="A673">
        <f>thousand_movies_with_ratings!G673/thousand_movies_with_ratings!I673</f>
        <v>38.258575197889179</v>
      </c>
    </row>
    <row r="674" spans="1:1" x14ac:dyDescent="0.3">
      <c r="A674">
        <f>thousand_movies_with_ratings!G674/thousand_movies_with_ratings!I674</f>
        <v>33.59375</v>
      </c>
    </row>
    <row r="675" spans="1:1" x14ac:dyDescent="0.3">
      <c r="A675">
        <f>thousand_movies_with_ratings!G675/thousand_movies_with_ratings!I675</f>
        <v>64.516129032258064</v>
      </c>
    </row>
    <row r="676" spans="1:1" x14ac:dyDescent="0.3">
      <c r="A676">
        <f>thousand_movies_with_ratings!G676/thousand_movies_with_ratings!I676</f>
        <v>50.595589102488503</v>
      </c>
    </row>
    <row r="677" spans="1:1" x14ac:dyDescent="0.3">
      <c r="A677">
        <f>thousand_movies_with_ratings!G677/thousand_movies_with_ratings!I677</f>
        <v>48.543689320388353</v>
      </c>
    </row>
    <row r="678" spans="1:1" x14ac:dyDescent="0.3">
      <c r="A678">
        <f>thousand_movies_with_ratings!G678/thousand_movies_with_ratings!I678</f>
        <v>26.770775237032908</v>
      </c>
    </row>
    <row r="679" spans="1:1" x14ac:dyDescent="0.3">
      <c r="A679">
        <f>thousand_movies_with_ratings!G679/thousand_movies_with_ratings!I679</f>
        <v>27.34375</v>
      </c>
    </row>
    <row r="680" spans="1:1" x14ac:dyDescent="0.3">
      <c r="A680">
        <f>thousand_movies_with_ratings!G680/thousand_movies_with_ratings!I680</f>
        <v>43.678160919540232</v>
      </c>
    </row>
    <row r="681" spans="1:1" x14ac:dyDescent="0.3">
      <c r="A681">
        <f>thousand_movies_with_ratings!G681/thousand_movies_with_ratings!I681</f>
        <v>42.519685039370081</v>
      </c>
    </row>
    <row r="682" spans="1:1" x14ac:dyDescent="0.3">
      <c r="A682">
        <f>thousand_movies_with_ratings!G682/thousand_movies_with_ratings!I682</f>
        <v>23.333333333333332</v>
      </c>
    </row>
    <row r="683" spans="1:1" x14ac:dyDescent="0.3">
      <c r="A683">
        <f>thousand_movies_with_ratings!G683/thousand_movies_with_ratings!I683</f>
        <v>61.711079943899016</v>
      </c>
    </row>
    <row r="684" spans="1:1" x14ac:dyDescent="0.3">
      <c r="A684">
        <f>thousand_movies_with_ratings!G684/thousand_movies_with_ratings!I684</f>
        <v>37.899543378995432</v>
      </c>
    </row>
    <row r="685" spans="1:1" x14ac:dyDescent="0.3">
      <c r="A685">
        <f>thousand_movies_with_ratings!G685/thousand_movies_with_ratings!I685</f>
        <v>34.818941504178269</v>
      </c>
    </row>
    <row r="686" spans="1:1" x14ac:dyDescent="0.3">
      <c r="A686">
        <f>thousand_movies_with_ratings!G686/thousand_movies_with_ratings!I686</f>
        <v>28.125</v>
      </c>
    </row>
    <row r="687" spans="1:1" x14ac:dyDescent="0.3">
      <c r="A687">
        <f>thousand_movies_with_ratings!G687/thousand_movies_with_ratings!I687</f>
        <v>48.332527791203482</v>
      </c>
    </row>
    <row r="688" spans="1:1" x14ac:dyDescent="0.3">
      <c r="A688">
        <f>thousand_movies_with_ratings!G688/thousand_movies_with_ratings!I688</f>
        <v>32</v>
      </c>
    </row>
    <row r="689" spans="1:1" x14ac:dyDescent="0.3">
      <c r="A689">
        <f>thousand_movies_with_ratings!G689/thousand_movies_with_ratings!I689</f>
        <v>49.685534591194966</v>
      </c>
    </row>
    <row r="690" spans="1:1" x14ac:dyDescent="0.3">
      <c r="A690">
        <f>thousand_movies_with_ratings!G690/thousand_movies_with_ratings!I690</f>
        <v>42.240587695133151</v>
      </c>
    </row>
    <row r="691" spans="1:1" x14ac:dyDescent="0.3">
      <c r="A691">
        <f>thousand_movies_with_ratings!G691/thousand_movies_with_ratings!I691</f>
        <v>54.285714285714285</v>
      </c>
    </row>
    <row r="692" spans="1:1" x14ac:dyDescent="0.3">
      <c r="A692">
        <f>thousand_movies_with_ratings!G692/thousand_movies_with_ratings!I692</f>
        <v>30.463576158940398</v>
      </c>
    </row>
    <row r="693" spans="1:1" x14ac:dyDescent="0.3">
      <c r="A693">
        <f>thousand_movies_with_ratings!G693/thousand_movies_with_ratings!I693</f>
        <v>44.176706827309239</v>
      </c>
    </row>
    <row r="694" spans="1:1" x14ac:dyDescent="0.3">
      <c r="A694">
        <f>thousand_movies_with_ratings!G694/thousand_movies_with_ratings!I694</f>
        <v>26.824034334763947</v>
      </c>
    </row>
    <row r="695" spans="1:1" x14ac:dyDescent="0.3">
      <c r="A695">
        <f>thousand_movies_with_ratings!G695/thousand_movies_with_ratings!I695</f>
        <v>40.123456790123456</v>
      </c>
    </row>
    <row r="696" spans="1:1" x14ac:dyDescent="0.3">
      <c r="A696">
        <f>thousand_movies_with_ratings!G696/thousand_movies_with_ratings!I696</f>
        <v>46.009389671361504</v>
      </c>
    </row>
    <row r="697" spans="1:1" x14ac:dyDescent="0.3">
      <c r="A697">
        <f>thousand_movies_with_ratings!G697/thousand_movies_with_ratings!I697</f>
        <v>42.342342342342342</v>
      </c>
    </row>
    <row r="698" spans="1:1" x14ac:dyDescent="0.3">
      <c r="A698">
        <f>thousand_movies_with_ratings!G698/thousand_movies_with_ratings!I698</f>
        <v>13.698630136986301</v>
      </c>
    </row>
    <row r="699" spans="1:1" x14ac:dyDescent="0.3">
      <c r="A699">
        <f>thousand_movies_with_ratings!G699/thousand_movies_with_ratings!I699</f>
        <v>19.662921348314608</v>
      </c>
    </row>
    <row r="700" spans="1:1" x14ac:dyDescent="0.3">
      <c r="A700">
        <f>thousand_movies_with_ratings!G700/thousand_movies_with_ratings!I700</f>
        <v>43.333333333333336</v>
      </c>
    </row>
    <row r="701" spans="1:1" x14ac:dyDescent="0.3">
      <c r="A701">
        <f>thousand_movies_with_ratings!G701/thousand_movies_with_ratings!I701</f>
        <v>14.00147383935151</v>
      </c>
    </row>
    <row r="702" spans="1:1" x14ac:dyDescent="0.3">
      <c r="A702">
        <f>thousand_movies_with_ratings!G702/thousand_movies_with_ratings!I702</f>
        <v>29.26829268292683</v>
      </c>
    </row>
    <row r="703" spans="1:1" x14ac:dyDescent="0.3">
      <c r="A703">
        <f>thousand_movies_with_ratings!G703/thousand_movies_with_ratings!I703</f>
        <v>30</v>
      </c>
    </row>
    <row r="704" spans="1:1" x14ac:dyDescent="0.3">
      <c r="A704">
        <f>thousand_movies_with_ratings!G704/thousand_movies_with_ratings!I704</f>
        <v>25.183630640083944</v>
      </c>
    </row>
    <row r="705" spans="1:1" x14ac:dyDescent="0.3">
      <c r="A705">
        <f>thousand_movies_with_ratings!G705/thousand_movies_with_ratings!I705</f>
        <v>65.040650406504071</v>
      </c>
    </row>
    <row r="706" spans="1:1" x14ac:dyDescent="0.3">
      <c r="A706">
        <f>thousand_movies_with_ratings!G706/thousand_movies_with_ratings!I706</f>
        <v>67.357512953367873</v>
      </c>
    </row>
    <row r="707" spans="1:1" x14ac:dyDescent="0.3">
      <c r="A707">
        <f>thousand_movies_with_ratings!G707/thousand_movies_with_ratings!I707</f>
        <v>56.842105263157897</v>
      </c>
    </row>
    <row r="708" spans="1:1" x14ac:dyDescent="0.3">
      <c r="A708">
        <f>thousand_movies_with_ratings!G708/thousand_movies_with_ratings!I708</f>
        <v>28.571428571428573</v>
      </c>
    </row>
    <row r="709" spans="1:1" x14ac:dyDescent="0.3">
      <c r="A709">
        <f>thousand_movies_with_ratings!G709/thousand_movies_with_ratings!I709</f>
        <v>35.135135135135137</v>
      </c>
    </row>
    <row r="710" spans="1:1" x14ac:dyDescent="0.3">
      <c r="A710">
        <f>thousand_movies_with_ratings!G710/thousand_movies_with_ratings!I710</f>
        <v>44.136191677175283</v>
      </c>
    </row>
    <row r="711" spans="1:1" x14ac:dyDescent="0.3">
      <c r="A711">
        <f>thousand_movies_with_ratings!G711/thousand_movies_with_ratings!I711</f>
        <v>56.157635467980299</v>
      </c>
    </row>
    <row r="712" spans="1:1" x14ac:dyDescent="0.3">
      <c r="A712">
        <f>thousand_movies_with_ratings!G712/thousand_movies_with_ratings!I712</f>
        <v>47.356828193832598</v>
      </c>
    </row>
    <row r="713" spans="1:1" x14ac:dyDescent="0.3">
      <c r="A713">
        <f>thousand_movies_with_ratings!G713/thousand_movies_with_ratings!I713</f>
        <v>52.983293556085918</v>
      </c>
    </row>
    <row r="714" spans="1:1" x14ac:dyDescent="0.3">
      <c r="A714">
        <f>thousand_movies_with_ratings!G714/thousand_movies_with_ratings!I714</f>
        <v>24.43280977312391</v>
      </c>
    </row>
    <row r="715" spans="1:1" x14ac:dyDescent="0.3">
      <c r="A715">
        <f>thousand_movies_with_ratings!G715/thousand_movies_with_ratings!I715</f>
        <v>78.034682080924853</v>
      </c>
    </row>
    <row r="716" spans="1:1" x14ac:dyDescent="0.3">
      <c r="A716">
        <f>thousand_movies_with_ratings!G716/thousand_movies_with_ratings!I716</f>
        <v>5.0566695727986053</v>
      </c>
    </row>
    <row r="717" spans="1:1" x14ac:dyDescent="0.3">
      <c r="A717">
        <f>thousand_movies_with_ratings!G717/thousand_movies_with_ratings!I717</f>
        <v>60.747663551401871</v>
      </c>
    </row>
    <row r="718" spans="1:1" x14ac:dyDescent="0.3">
      <c r="A718">
        <f>thousand_movies_with_ratings!G718/thousand_movies_with_ratings!I718</f>
        <v>51.557465091299676</v>
      </c>
    </row>
    <row r="719" spans="1:1" x14ac:dyDescent="0.3">
      <c r="A719">
        <f>thousand_movies_with_ratings!G719/thousand_movies_with_ratings!I719</f>
        <v>6.4393939393939394</v>
      </c>
    </row>
    <row r="720" spans="1:1" x14ac:dyDescent="0.3">
      <c r="A720">
        <f>thousand_movies_with_ratings!G720/thousand_movies_with_ratings!I720</f>
        <v>43.718361711919009</v>
      </c>
    </row>
    <row r="721" spans="1:1" x14ac:dyDescent="0.3">
      <c r="A721">
        <f>thousand_movies_with_ratings!G721/thousand_movies_with_ratings!I721</f>
        <v>49.504950495049506</v>
      </c>
    </row>
    <row r="722" spans="1:1" x14ac:dyDescent="0.3">
      <c r="A722">
        <f>thousand_movies_with_ratings!G722/thousand_movies_with_ratings!I722</f>
        <v>30</v>
      </c>
    </row>
    <row r="723" spans="1:1" x14ac:dyDescent="0.3">
      <c r="A723">
        <f>thousand_movies_with_ratings!G723/thousand_movies_with_ratings!I723</f>
        <v>21.333333333333332</v>
      </c>
    </row>
    <row r="724" spans="1:1" x14ac:dyDescent="0.3">
      <c r="A724">
        <f>thousand_movies_with_ratings!G724/thousand_movies_with_ratings!I724</f>
        <v>38.109756097560975</v>
      </c>
    </row>
    <row r="725" spans="1:1" x14ac:dyDescent="0.3">
      <c r="A725">
        <f>thousand_movies_with_ratings!G725/thousand_movies_with_ratings!I725</f>
        <v>18.82443334613907</v>
      </c>
    </row>
    <row r="726" spans="1:1" x14ac:dyDescent="0.3">
      <c r="A726">
        <f>thousand_movies_with_ratings!G726/thousand_movies_with_ratings!I726</f>
        <v>14.677103718199609</v>
      </c>
    </row>
    <row r="727" spans="1:1" x14ac:dyDescent="0.3">
      <c r="A727">
        <f>thousand_movies_with_ratings!G727/thousand_movies_with_ratings!I727</f>
        <v>47.860768672951416</v>
      </c>
    </row>
    <row r="728" spans="1:1" x14ac:dyDescent="0.3">
      <c r="A728">
        <f>thousand_movies_with_ratings!G728/thousand_movies_with_ratings!I728</f>
        <v>39.416058394160586</v>
      </c>
    </row>
    <row r="729" spans="1:1" x14ac:dyDescent="0.3">
      <c r="A729">
        <f>thousand_movies_with_ratings!G729/thousand_movies_with_ratings!I729</f>
        <v>38.18181818181818</v>
      </c>
    </row>
    <row r="730" spans="1:1" x14ac:dyDescent="0.3">
      <c r="A730">
        <f>thousand_movies_with_ratings!G730/thousand_movies_with_ratings!I730</f>
        <v>21.252796420581657</v>
      </c>
    </row>
    <row r="731" spans="1:1" x14ac:dyDescent="0.3">
      <c r="A731">
        <f>thousand_movies_with_ratings!G731/thousand_movies_with_ratings!I731</f>
        <v>56.040756914119356</v>
      </c>
    </row>
    <row r="732" spans="1:1" x14ac:dyDescent="0.3">
      <c r="A732">
        <f>thousand_movies_with_ratings!G732/thousand_movies_with_ratings!I732</f>
        <v>21.846153846153847</v>
      </c>
    </row>
    <row r="733" spans="1:1" x14ac:dyDescent="0.3">
      <c r="A733">
        <f>thousand_movies_with_ratings!G733/thousand_movies_with_ratings!I733</f>
        <v>9.2307692307692299</v>
      </c>
    </row>
    <row r="734" spans="1:1" x14ac:dyDescent="0.3">
      <c r="A734">
        <f>thousand_movies_with_ratings!G734/thousand_movies_with_ratings!I734</f>
        <v>34.090909090909093</v>
      </c>
    </row>
    <row r="735" spans="1:1" x14ac:dyDescent="0.3">
      <c r="A735">
        <f>thousand_movies_with_ratings!G735/thousand_movies_with_ratings!I735</f>
        <v>46.647230320699705</v>
      </c>
    </row>
    <row r="736" spans="1:1" x14ac:dyDescent="0.3">
      <c r="A736">
        <f>thousand_movies_with_ratings!G736/thousand_movies_with_ratings!I736</f>
        <v>15.178571428571429</v>
      </c>
    </row>
    <row r="737" spans="1:1" x14ac:dyDescent="0.3">
      <c r="A737">
        <f>thousand_movies_with_ratings!G737/thousand_movies_with_ratings!I737</f>
        <v>21.253985122210416</v>
      </c>
    </row>
    <row r="738" spans="1:1" x14ac:dyDescent="0.3">
      <c r="A738">
        <f>thousand_movies_with_ratings!G738/thousand_movies_with_ratings!I738</f>
        <v>30.232558139534884</v>
      </c>
    </row>
    <row r="739" spans="1:1" x14ac:dyDescent="0.3">
      <c r="A739">
        <f>thousand_movies_with_ratings!G739/thousand_movies_with_ratings!I739</f>
        <v>30.959752321981423</v>
      </c>
    </row>
    <row r="740" spans="1:1" x14ac:dyDescent="0.3">
      <c r="A740">
        <f>thousand_movies_with_ratings!G740/thousand_movies_with_ratings!I740</f>
        <v>43.478260869565219</v>
      </c>
    </row>
    <row r="741" spans="1:1" x14ac:dyDescent="0.3">
      <c r="A741">
        <f>thousand_movies_with_ratings!G741/thousand_movies_with_ratings!I741</f>
        <v>20.019065776930411</v>
      </c>
    </row>
    <row r="742" spans="1:1" x14ac:dyDescent="0.3">
      <c r="A742">
        <f>thousand_movies_with_ratings!G742/thousand_movies_with_ratings!I742</f>
        <v>47.777777777777779</v>
      </c>
    </row>
    <row r="743" spans="1:1" x14ac:dyDescent="0.3">
      <c r="A743">
        <f>thousand_movies_with_ratings!G743/thousand_movies_with_ratings!I743</f>
        <v>45.112781954887218</v>
      </c>
    </row>
    <row r="744" spans="1:1" x14ac:dyDescent="0.3">
      <c r="A744">
        <f>thousand_movies_with_ratings!G744/thousand_movies_with_ratings!I744</f>
        <v>8.0508474576271194</v>
      </c>
    </row>
    <row r="745" spans="1:1" x14ac:dyDescent="0.3">
      <c r="A745">
        <f>thousand_movies_with_ratings!G745/thousand_movies_with_ratings!I745</f>
        <v>34.328358208955223</v>
      </c>
    </row>
    <row r="746" spans="1:1" x14ac:dyDescent="0.3">
      <c r="A746">
        <f>thousand_movies_with_ratings!G746/thousand_movies_with_ratings!I746</f>
        <v>26.143790849673202</v>
      </c>
    </row>
    <row r="747" spans="1:1" x14ac:dyDescent="0.3">
      <c r="A747">
        <f>thousand_movies_with_ratings!G747/thousand_movies_with_ratings!I747</f>
        <v>28.205128205128204</v>
      </c>
    </row>
    <row r="748" spans="1:1" x14ac:dyDescent="0.3">
      <c r="A748">
        <f>thousand_movies_with_ratings!G748/thousand_movies_with_ratings!I748</f>
        <v>70</v>
      </c>
    </row>
    <row r="749" spans="1:1" x14ac:dyDescent="0.3">
      <c r="A749">
        <f>thousand_movies_with_ratings!G749/thousand_movies_with_ratings!I749</f>
        <v>87.20930232558139</v>
      </c>
    </row>
    <row r="750" spans="1:1" x14ac:dyDescent="0.3">
      <c r="A750">
        <f>thousand_movies_with_ratings!G750/thousand_movies_with_ratings!I750</f>
        <v>95.294117647058826</v>
      </c>
    </row>
    <row r="751" spans="1:1" x14ac:dyDescent="0.3">
      <c r="A751">
        <f>thousand_movies_with_ratings!G751/thousand_movies_with_ratings!I751</f>
        <v>46.906187624750501</v>
      </c>
    </row>
    <row r="752" spans="1:1" x14ac:dyDescent="0.3">
      <c r="A752">
        <f>thousand_movies_with_ratings!G752/thousand_movies_with_ratings!I752</f>
        <v>39.351851851851855</v>
      </c>
    </row>
    <row r="753" spans="1:1" x14ac:dyDescent="0.3">
      <c r="A753">
        <f>thousand_movies_with_ratings!G753/thousand_movies_with_ratings!I753</f>
        <v>5.6338028169014081</v>
      </c>
    </row>
    <row r="754" spans="1:1" x14ac:dyDescent="0.3">
      <c r="A754">
        <f>thousand_movies_with_ratings!G754/thousand_movies_with_ratings!I754</f>
        <v>0.90458015267175573</v>
      </c>
    </row>
    <row r="755" spans="1:1" x14ac:dyDescent="0.3">
      <c r="A755">
        <f>thousand_movies_with_ratings!G755/thousand_movies_with_ratings!I755</f>
        <v>50.179211469534053</v>
      </c>
    </row>
    <row r="756" spans="1:1" x14ac:dyDescent="0.3">
      <c r="A756">
        <f>thousand_movies_with_ratings!G756/thousand_movies_with_ratings!I756</f>
        <v>65.748616173889559</v>
      </c>
    </row>
    <row r="757" spans="1:1" x14ac:dyDescent="0.3">
      <c r="A757">
        <f>thousand_movies_with_ratings!G757/thousand_movies_with_ratings!I757</f>
        <v>7.3170731707317076</v>
      </c>
    </row>
    <row r="758" spans="1:1" x14ac:dyDescent="0.3">
      <c r="A758">
        <f>thousand_movies_with_ratings!G758/thousand_movies_with_ratings!I758</f>
        <v>43.39622641509434</v>
      </c>
    </row>
    <row r="759" spans="1:1" x14ac:dyDescent="0.3">
      <c r="A759">
        <f>thousand_movies_with_ratings!G759/thousand_movies_with_ratings!I759</f>
        <v>60.9375</v>
      </c>
    </row>
    <row r="760" spans="1:1" x14ac:dyDescent="0.3">
      <c r="A760">
        <f>thousand_movies_with_ratings!G760/thousand_movies_with_ratings!I760</f>
        <v>36.19047619047619</v>
      </c>
    </row>
    <row r="761" spans="1:1" x14ac:dyDescent="0.3">
      <c r="A761">
        <f>thousand_movies_with_ratings!G761/thousand_movies_with_ratings!I761</f>
        <v>48.913043478260867</v>
      </c>
    </row>
    <row r="762" spans="1:1" x14ac:dyDescent="0.3">
      <c r="A762">
        <f>thousand_movies_with_ratings!G762/thousand_movies_with_ratings!I762</f>
        <v>28.371710526315791</v>
      </c>
    </row>
    <row r="763" spans="1:1" x14ac:dyDescent="0.3">
      <c r="A763">
        <f>thousand_movies_with_ratings!G763/thousand_movies_with_ratings!I763</f>
        <v>22.97970126388357</v>
      </c>
    </row>
    <row r="764" spans="1:1" x14ac:dyDescent="0.3">
      <c r="A764">
        <f>thousand_movies_with_ratings!G764/thousand_movies_with_ratings!I764</f>
        <v>30.566280566280565</v>
      </c>
    </row>
    <row r="765" spans="1:1" x14ac:dyDescent="0.3">
      <c r="A765">
        <f>thousand_movies_with_ratings!G765/thousand_movies_with_ratings!I765</f>
        <v>52.077853761178325</v>
      </c>
    </row>
    <row r="766" spans="1:1" x14ac:dyDescent="0.3">
      <c r="A766">
        <f>thousand_movies_with_ratings!G766/thousand_movies_with_ratings!I766</f>
        <v>47.875</v>
      </c>
    </row>
    <row r="767" spans="1:1" x14ac:dyDescent="0.3">
      <c r="A767">
        <f>thousand_movies_with_ratings!G767/thousand_movies_with_ratings!I767</f>
        <v>41.015625</v>
      </c>
    </row>
    <row r="768" spans="1:1" x14ac:dyDescent="0.3">
      <c r="A768">
        <f>thousand_movies_with_ratings!G768/thousand_movies_with_ratings!I768</f>
        <v>51.020408163265309</v>
      </c>
    </row>
    <row r="769" spans="1:1" x14ac:dyDescent="0.3">
      <c r="A769">
        <f>thousand_movies_with_ratings!G769/thousand_movies_with_ratings!I769</f>
        <v>30.405405405405407</v>
      </c>
    </row>
    <row r="770" spans="1:1" x14ac:dyDescent="0.3">
      <c r="A770">
        <f>thousand_movies_with_ratings!G770/thousand_movies_with_ratings!I770</f>
        <v>15.841584158415841</v>
      </c>
    </row>
    <row r="771" spans="1:1" x14ac:dyDescent="0.3">
      <c r="A771">
        <f>thousand_movies_with_ratings!G771/thousand_movies_with_ratings!I771</f>
        <v>33.613445378151262</v>
      </c>
    </row>
    <row r="772" spans="1:1" x14ac:dyDescent="0.3">
      <c r="A772">
        <f>thousand_movies_with_ratings!G772/thousand_movies_with_ratings!I772</f>
        <v>12.681912681912682</v>
      </c>
    </row>
    <row r="773" spans="1:1" x14ac:dyDescent="0.3">
      <c r="A773">
        <f>thousand_movies_with_ratings!G773/thousand_movies_with_ratings!I773</f>
        <v>31.506849315068493</v>
      </c>
    </row>
    <row r="774" spans="1:1" x14ac:dyDescent="0.3">
      <c r="A774">
        <f>thousand_movies_with_ratings!G774/thousand_movies_with_ratings!I774</f>
        <v>37.520844913841024</v>
      </c>
    </row>
    <row r="775" spans="1:1" x14ac:dyDescent="0.3">
      <c r="A775">
        <f>thousand_movies_with_ratings!G775/thousand_movies_with_ratings!I775</f>
        <v>55.299539170506911</v>
      </c>
    </row>
    <row r="776" spans="1:1" x14ac:dyDescent="0.3">
      <c r="A776">
        <f>thousand_movies_with_ratings!G776/thousand_movies_with_ratings!I776</f>
        <v>24.236037934668072</v>
      </c>
    </row>
    <row r="777" spans="1:1" x14ac:dyDescent="0.3">
      <c r="A777">
        <f>thousand_movies_with_ratings!G777/thousand_movies_with_ratings!I777</f>
        <v>22.112211221122113</v>
      </c>
    </row>
    <row r="778" spans="1:1" x14ac:dyDescent="0.3">
      <c r="A778">
        <f>thousand_movies_with_ratings!G778/thousand_movies_with_ratings!I778</f>
        <v>26.136363636363637</v>
      </c>
    </row>
    <row r="779" spans="1:1" x14ac:dyDescent="0.3">
      <c r="A779">
        <f>thousand_movies_with_ratings!G779/thousand_movies_with_ratings!I779</f>
        <v>49.689440993788821</v>
      </c>
    </row>
    <row r="780" spans="1:1" x14ac:dyDescent="0.3">
      <c r="A780">
        <f>thousand_movies_with_ratings!G780/thousand_movies_with_ratings!I780</f>
        <v>32.534246575342465</v>
      </c>
    </row>
    <row r="781" spans="1:1" x14ac:dyDescent="0.3">
      <c r="A781">
        <f>thousand_movies_with_ratings!G781/thousand_movies_with_ratings!I781</f>
        <v>16.614745586708203</v>
      </c>
    </row>
    <row r="782" spans="1:1" x14ac:dyDescent="0.3">
      <c r="A782">
        <f>thousand_movies_with_ratings!G782/thousand_movies_with_ratings!I782</f>
        <v>26.845637583892618</v>
      </c>
    </row>
    <row r="783" spans="1:1" x14ac:dyDescent="0.3">
      <c r="A783">
        <f>thousand_movies_with_ratings!G783/thousand_movies_with_ratings!I783</f>
        <v>13.079019073569482</v>
      </c>
    </row>
    <row r="784" spans="1:1" x14ac:dyDescent="0.3">
      <c r="A784">
        <f>thousand_movies_with_ratings!G784/thousand_movies_with_ratings!I784</f>
        <v>37.234042553191486</v>
      </c>
    </row>
    <row r="785" spans="1:1" x14ac:dyDescent="0.3">
      <c r="A785">
        <f>thousand_movies_with_ratings!G785/thousand_movies_with_ratings!I785</f>
        <v>38.860103626943008</v>
      </c>
    </row>
    <row r="786" spans="1:1" x14ac:dyDescent="0.3">
      <c r="A786">
        <f>thousand_movies_with_ratings!G786/thousand_movies_with_ratings!I786</f>
        <v>36.53846153846154</v>
      </c>
    </row>
    <row r="787" spans="1:1" x14ac:dyDescent="0.3">
      <c r="A787">
        <f>thousand_movies_with_ratings!G787/thousand_movies_with_ratings!I787</f>
        <v>68.518518518518519</v>
      </c>
    </row>
    <row r="788" spans="1:1" x14ac:dyDescent="0.3">
      <c r="A788">
        <f>thousand_movies_with_ratings!G788/thousand_movies_with_ratings!I788</f>
        <v>43.756670224119532</v>
      </c>
    </row>
    <row r="789" spans="1:1" x14ac:dyDescent="0.3">
      <c r="A789">
        <f>thousand_movies_with_ratings!G789/thousand_movies_with_ratings!I789</f>
        <v>587.62886597938143</v>
      </c>
    </row>
    <row r="790" spans="1:1" x14ac:dyDescent="0.3">
      <c r="A790">
        <f>thousand_movies_with_ratings!G790/thousand_movies_with_ratings!I790</f>
        <v>54.700854700854698</v>
      </c>
    </row>
    <row r="791" spans="1:1" x14ac:dyDescent="0.3">
      <c r="A791">
        <f>thousand_movies_with_ratings!G791/thousand_movies_with_ratings!I791</f>
        <v>55.905511811023622</v>
      </c>
    </row>
    <row r="792" spans="1:1" x14ac:dyDescent="0.3">
      <c r="A792">
        <f>thousand_movies_with_ratings!G792/thousand_movies_with_ratings!I792</f>
        <v>34.355828220858896</v>
      </c>
    </row>
    <row r="793" spans="1:1" x14ac:dyDescent="0.3">
      <c r="A793">
        <f>thousand_movies_with_ratings!G793/thousand_movies_with_ratings!I793</f>
        <v>27.161311692613449</v>
      </c>
    </row>
    <row r="794" spans="1:1" x14ac:dyDescent="0.3">
      <c r="A794">
        <f>thousand_movies_with_ratings!G794/thousand_movies_with_ratings!I794</f>
        <v>31.428571428571427</v>
      </c>
    </row>
    <row r="795" spans="1:1" x14ac:dyDescent="0.3">
      <c r="A795">
        <f>thousand_movies_with_ratings!G795/thousand_movies_with_ratings!I795</f>
        <v>35.787321063394685</v>
      </c>
    </row>
    <row r="796" spans="1:1" x14ac:dyDescent="0.3">
      <c r="A796">
        <f>thousand_movies_with_ratings!G796/thousand_movies_with_ratings!I796</f>
        <v>30.075187969924812</v>
      </c>
    </row>
    <row r="797" spans="1:1" x14ac:dyDescent="0.3">
      <c r="A797">
        <f>thousand_movies_with_ratings!G797/thousand_movies_with_ratings!I797</f>
        <v>36.138613861386141</v>
      </c>
    </row>
    <row r="798" spans="1:1" x14ac:dyDescent="0.3">
      <c r="A798">
        <f>thousand_movies_with_ratings!G798/thousand_movies_with_ratings!I798</f>
        <v>51.14638447971781</v>
      </c>
    </row>
    <row r="799" spans="1:1" x14ac:dyDescent="0.3">
      <c r="A799">
        <f>thousand_movies_with_ratings!G799/thousand_movies_with_ratings!I799</f>
        <v>39.906103286384976</v>
      </c>
    </row>
    <row r="800" spans="1:1" x14ac:dyDescent="0.3">
      <c r="A800">
        <f>thousand_movies_with_ratings!G800/thousand_movies_with_ratings!I800</f>
        <v>39.155074703760945</v>
      </c>
    </row>
    <row r="801" spans="1:1" x14ac:dyDescent="0.3">
      <c r="A801">
        <f>thousand_movies_with_ratings!G801/thousand_movies_with_ratings!I801</f>
        <v>43.152949364886027</v>
      </c>
    </row>
    <row r="802" spans="1:1" x14ac:dyDescent="0.3">
      <c r="A802">
        <f>thousand_movies_with_ratings!G802/thousand_movies_with_ratings!I802</f>
        <v>61.50888995675156</v>
      </c>
    </row>
    <row r="803" spans="1:1" x14ac:dyDescent="0.3">
      <c r="A803">
        <f>thousand_movies_with_ratings!G803/thousand_movies_with_ratings!I803</f>
        <v>36.266349583828777</v>
      </c>
    </row>
    <row r="804" spans="1:1" x14ac:dyDescent="0.3">
      <c r="A804">
        <f>thousand_movies_with_ratings!G804/thousand_movies_with_ratings!I804</f>
        <v>32.692307692307693</v>
      </c>
    </row>
    <row r="805" spans="1:1" x14ac:dyDescent="0.3">
      <c r="A805">
        <f>thousand_movies_with_ratings!G805/thousand_movies_with_ratings!I805</f>
        <v>41.99475065616798</v>
      </c>
    </row>
    <row r="806" spans="1:1" x14ac:dyDescent="0.3">
      <c r="A806">
        <f>thousand_movies_with_ratings!G806/thousand_movies_with_ratings!I806</f>
        <v>71.895424836601308</v>
      </c>
    </row>
    <row r="807" spans="1:1" x14ac:dyDescent="0.3">
      <c r="A807">
        <f>thousand_movies_with_ratings!G807/thousand_movies_with_ratings!I807</f>
        <v>32.976092333058531</v>
      </c>
    </row>
    <row r="808" spans="1:1" x14ac:dyDescent="0.3">
      <c r="A808">
        <f>thousand_movies_with_ratings!G808/thousand_movies_with_ratings!I808</f>
        <v>31.807602792862685</v>
      </c>
    </row>
    <row r="809" spans="1:1" x14ac:dyDescent="0.3">
      <c r="A809">
        <f>thousand_movies_with_ratings!G809/thousand_movies_with_ratings!I809</f>
        <v>23.255813953488371</v>
      </c>
    </row>
    <row r="810" spans="1:1" x14ac:dyDescent="0.3">
      <c r="A810">
        <f>thousand_movies_with_ratings!G810/thousand_movies_with_ratings!I810</f>
        <v>141.30434782608697</v>
      </c>
    </row>
    <row r="811" spans="1:1" x14ac:dyDescent="0.3">
      <c r="A811">
        <f>thousand_movies_with_ratings!G811/thousand_movies_with_ratings!I811</f>
        <v>85.355648535564853</v>
      </c>
    </row>
    <row r="812" spans="1:1" x14ac:dyDescent="0.3">
      <c r="A812">
        <f>thousand_movies_with_ratings!G812/thousand_movies_with_ratings!I812</f>
        <v>25.666666666666668</v>
      </c>
    </row>
    <row r="813" spans="1:1" x14ac:dyDescent="0.3">
      <c r="A813">
        <f>thousand_movies_with_ratings!G813/thousand_movies_with_ratings!I813</f>
        <v>42.139384116693677</v>
      </c>
    </row>
    <row r="814" spans="1:1" x14ac:dyDescent="0.3">
      <c r="A814">
        <f>thousand_movies_with_ratings!G814/thousand_movies_with_ratings!I814</f>
        <v>31.704095112285337</v>
      </c>
    </row>
    <row r="815" spans="1:1" x14ac:dyDescent="0.3">
      <c r="A815">
        <f>thousand_movies_with_ratings!G815/thousand_movies_with_ratings!I815</f>
        <v>46.103896103896105</v>
      </c>
    </row>
    <row r="816" spans="1:1" x14ac:dyDescent="0.3">
      <c r="A816">
        <f>thousand_movies_with_ratings!G816/thousand_movies_with_ratings!I816</f>
        <v>75.581395348837205</v>
      </c>
    </row>
    <row r="817" spans="1:1" x14ac:dyDescent="0.3">
      <c r="A817">
        <f>thousand_movies_with_ratings!G817/thousand_movies_with_ratings!I817</f>
        <v>7.518796992481203</v>
      </c>
    </row>
    <row r="818" spans="1:1" x14ac:dyDescent="0.3">
      <c r="A818">
        <f>thousand_movies_with_ratings!G818/thousand_movies_with_ratings!I818</f>
        <v>20.276497695852534</v>
      </c>
    </row>
    <row r="819" spans="1:1" x14ac:dyDescent="0.3">
      <c r="A819">
        <f>thousand_movies_with_ratings!G819/thousand_movies_with_ratings!I819</f>
        <v>78.787878787878782</v>
      </c>
    </row>
    <row r="820" spans="1:1" x14ac:dyDescent="0.3">
      <c r="A820">
        <f>thousand_movies_with_ratings!G820/thousand_movies_with_ratings!I820</f>
        <v>37.647058823529413</v>
      </c>
    </row>
    <row r="821" spans="1:1" x14ac:dyDescent="0.3">
      <c r="A821">
        <f>thousand_movies_with_ratings!G821/thousand_movies_with_ratings!I821</f>
        <v>35.714285714285715</v>
      </c>
    </row>
    <row r="822" spans="1:1" x14ac:dyDescent="0.3">
      <c r="A822">
        <f>thousand_movies_with_ratings!G822/thousand_movies_with_ratings!I822</f>
        <v>35.827186512118018</v>
      </c>
    </row>
    <row r="823" spans="1:1" x14ac:dyDescent="0.3">
      <c r="A823">
        <f>thousand_movies_with_ratings!G823/thousand_movies_with_ratings!I823</f>
        <v>24.596774193548388</v>
      </c>
    </row>
    <row r="824" spans="1:1" x14ac:dyDescent="0.3">
      <c r="A824">
        <f>thousand_movies_with_ratings!G824/thousand_movies_with_ratings!I824</f>
        <v>36.506800286327845</v>
      </c>
    </row>
    <row r="825" spans="1:1" x14ac:dyDescent="0.3">
      <c r="A825">
        <f>thousand_movies_with_ratings!G825/thousand_movies_with_ratings!I825</f>
        <v>48.638132295719842</v>
      </c>
    </row>
    <row r="826" spans="1:1" x14ac:dyDescent="0.3">
      <c r="A826">
        <f>thousand_movies_with_ratings!G826/thousand_movies_with_ratings!I826</f>
        <v>37.288135593220339</v>
      </c>
    </row>
    <row r="827" spans="1:1" x14ac:dyDescent="0.3">
      <c r="A827">
        <f>thousand_movies_with_ratings!G827/thousand_movies_with_ratings!I827</f>
        <v>49.867021276595743</v>
      </c>
    </row>
    <row r="828" spans="1:1" x14ac:dyDescent="0.3">
      <c r="A828">
        <f>thousand_movies_with_ratings!G828/thousand_movies_with_ratings!I828</f>
        <v>27.333333333333332</v>
      </c>
    </row>
    <row r="829" spans="1:1" x14ac:dyDescent="0.3">
      <c r="A829">
        <f>thousand_movies_with_ratings!G829/thousand_movies_with_ratings!I829</f>
        <v>37.593984962406012</v>
      </c>
    </row>
    <row r="830" spans="1:1" x14ac:dyDescent="0.3">
      <c r="A830">
        <f>thousand_movies_with_ratings!G830/thousand_movies_with_ratings!I830</f>
        <v>40.372670807453417</v>
      </c>
    </row>
    <row r="831" spans="1:1" x14ac:dyDescent="0.3">
      <c r="A831">
        <f>thousand_movies_with_ratings!G831/thousand_movies_with_ratings!I831</f>
        <v>43.314500941619585</v>
      </c>
    </row>
    <row r="832" spans="1:1" x14ac:dyDescent="0.3">
      <c r="A832">
        <f>thousand_movies_with_ratings!G832/thousand_movies_with_ratings!I832</f>
        <v>66</v>
      </c>
    </row>
    <row r="833" spans="1:1" x14ac:dyDescent="0.3">
      <c r="A833">
        <f>thousand_movies_with_ratings!G833/thousand_movies_with_ratings!I833</f>
        <v>26.285714285714285</v>
      </c>
    </row>
    <row r="834" spans="1:1" x14ac:dyDescent="0.3">
      <c r="A834">
        <f>thousand_movies_with_ratings!G834/thousand_movies_with_ratings!I834</f>
        <v>63.043478260869563</v>
      </c>
    </row>
    <row r="835" spans="1:1" x14ac:dyDescent="0.3">
      <c r="A835">
        <f>thousand_movies_with_ratings!G835/thousand_movies_with_ratings!I835</f>
        <v>47.156726768377254</v>
      </c>
    </row>
    <row r="836" spans="1:1" x14ac:dyDescent="0.3">
      <c r="A836">
        <f>thousand_movies_with_ratings!G836/thousand_movies_with_ratings!I836</f>
        <v>41.561712846347604</v>
      </c>
    </row>
    <row r="837" spans="1:1" x14ac:dyDescent="0.3">
      <c r="A837">
        <f>thousand_movies_with_ratings!G837/thousand_movies_with_ratings!I837</f>
        <v>46.511627906976742</v>
      </c>
    </row>
    <row r="838" spans="1:1" x14ac:dyDescent="0.3">
      <c r="A838">
        <f>thousand_movies_with_ratings!G838/thousand_movies_with_ratings!I838</f>
        <v>60.85526315789474</v>
      </c>
    </row>
    <row r="839" spans="1:1" x14ac:dyDescent="0.3">
      <c r="A839">
        <f>thousand_movies_with_ratings!G839/thousand_movies_with_ratings!I839</f>
        <v>31.4</v>
      </c>
    </row>
    <row r="840" spans="1:1" x14ac:dyDescent="0.3">
      <c r="A840">
        <f>thousand_movies_with_ratings!G840/thousand_movies_with_ratings!I840</f>
        <v>40.935672514619881</v>
      </c>
    </row>
    <row r="841" spans="1:1" x14ac:dyDescent="0.3">
      <c r="A841">
        <f>thousand_movies_with_ratings!G841/thousand_movies_with_ratings!I841</f>
        <v>5.5690072639225185</v>
      </c>
    </row>
    <row r="842" spans="1:1" x14ac:dyDescent="0.3">
      <c r="A842">
        <f>thousand_movies_with_ratings!G842/thousand_movies_with_ratings!I842</f>
        <v>26.75747993189005</v>
      </c>
    </row>
    <row r="843" spans="1:1" x14ac:dyDescent="0.3">
      <c r="A843">
        <f>thousand_movies_with_ratings!G843/thousand_movies_with_ratings!I843</f>
        <v>31.69811320754717</v>
      </c>
    </row>
    <row r="844" spans="1:1" x14ac:dyDescent="0.3">
      <c r="A844">
        <f>thousand_movies_with_ratings!G844/thousand_movies_with_ratings!I844</f>
        <v>42.27642276422764</v>
      </c>
    </row>
    <row r="845" spans="1:1" x14ac:dyDescent="0.3">
      <c r="A845">
        <f>thousand_movies_with_ratings!G845/thousand_movies_with_ratings!I845</f>
        <v>20.454545454545453</v>
      </c>
    </row>
    <row r="846" spans="1:1" x14ac:dyDescent="0.3">
      <c r="A846">
        <f>thousand_movies_with_ratings!G846/thousand_movies_with_ratings!I846</f>
        <v>50.490883590462836</v>
      </c>
    </row>
    <row r="847" spans="1:1" x14ac:dyDescent="0.3">
      <c r="A847">
        <f>thousand_movies_with_ratings!G847/thousand_movies_with_ratings!I847</f>
        <v>36.175710594315248</v>
      </c>
    </row>
    <row r="848" spans="1:1" x14ac:dyDescent="0.3">
      <c r="A848">
        <f>thousand_movies_with_ratings!G848/thousand_movies_with_ratings!I848</f>
        <v>36.67745415318231</v>
      </c>
    </row>
    <row r="849" spans="1:1" x14ac:dyDescent="0.3">
      <c r="A849">
        <f>thousand_movies_with_ratings!G849/thousand_movies_with_ratings!I849</f>
        <v>39.136979427997993</v>
      </c>
    </row>
    <row r="850" spans="1:1" x14ac:dyDescent="0.3">
      <c r="A850">
        <f>thousand_movies_with_ratings!G850/thousand_movies_with_ratings!I850</f>
        <v>61.702127659574465</v>
      </c>
    </row>
    <row r="851" spans="1:1" x14ac:dyDescent="0.3">
      <c r="A851">
        <f>thousand_movies_with_ratings!G851/thousand_movies_with_ratings!I851</f>
        <v>8.6757990867579906</v>
      </c>
    </row>
    <row r="852" spans="1:1" x14ac:dyDescent="0.3">
      <c r="A852">
        <f>thousand_movies_with_ratings!G852/thousand_movies_with_ratings!I852</f>
        <v>5.4794520547945202</v>
      </c>
    </row>
    <row r="853" spans="1:1" x14ac:dyDescent="0.3">
      <c r="A853">
        <f>thousand_movies_with_ratings!G853/thousand_movies_with_ratings!I853</f>
        <v>42.016806722689076</v>
      </c>
    </row>
    <row r="854" spans="1:1" x14ac:dyDescent="0.3">
      <c r="A854">
        <f>thousand_movies_with_ratings!G854/thousand_movies_with_ratings!I854</f>
        <v>54.455445544554458</v>
      </c>
    </row>
    <row r="855" spans="1:1" x14ac:dyDescent="0.3">
      <c r="A855">
        <f>thousand_movies_with_ratings!G855/thousand_movies_with_ratings!I855</f>
        <v>100</v>
      </c>
    </row>
    <row r="856" spans="1:1" x14ac:dyDescent="0.3">
      <c r="A856">
        <f>thousand_movies_with_ratings!G856/thousand_movies_with_ratings!I856</f>
        <v>29.442148760330578</v>
      </c>
    </row>
    <row r="857" spans="1:1" x14ac:dyDescent="0.3">
      <c r="A857">
        <f>thousand_movies_with_ratings!G857/thousand_movies_with_ratings!I857</f>
        <v>85.190039318479691</v>
      </c>
    </row>
    <row r="858" spans="1:1" x14ac:dyDescent="0.3">
      <c r="A858">
        <f>thousand_movies_with_ratings!G858/thousand_movies_with_ratings!I858</f>
        <v>41.714614499424627</v>
      </c>
    </row>
    <row r="859" spans="1:1" x14ac:dyDescent="0.3">
      <c r="A859">
        <f>thousand_movies_with_ratings!G859/thousand_movies_with_ratings!I859</f>
        <v>26.266416510318951</v>
      </c>
    </row>
    <row r="860" spans="1:1" x14ac:dyDescent="0.3">
      <c r="A860">
        <f>thousand_movies_with_ratings!G860/thousand_movies_with_ratings!I860</f>
        <v>39.930555555555557</v>
      </c>
    </row>
    <row r="861" spans="1:1" x14ac:dyDescent="0.3">
      <c r="A861">
        <f>thousand_movies_with_ratings!G861/thousand_movies_with_ratings!I861</f>
        <v>24.390243902439025</v>
      </c>
    </row>
    <row r="862" spans="1:1" x14ac:dyDescent="0.3">
      <c r="A862">
        <f>thousand_movies_with_ratings!G862/thousand_movies_with_ratings!I862</f>
        <v>37.872340425531917</v>
      </c>
    </row>
    <row r="863" spans="1:1" x14ac:dyDescent="0.3">
      <c r="A863">
        <f>thousand_movies_with_ratings!G863/thousand_movies_with_ratings!I863</f>
        <v>333.33333333333331</v>
      </c>
    </row>
    <row r="864" spans="1:1" x14ac:dyDescent="0.3">
      <c r="A864">
        <f>thousand_movies_with_ratings!G864/thousand_movies_with_ratings!I864</f>
        <v>38.55619360131255</v>
      </c>
    </row>
    <row r="865" spans="1:1" x14ac:dyDescent="0.3">
      <c r="A865">
        <f>thousand_movies_with_ratings!G865/thousand_movies_with_ratings!I865</f>
        <v>28.571428571428573</v>
      </c>
    </row>
    <row r="866" spans="1:1" x14ac:dyDescent="0.3">
      <c r="A866">
        <f>thousand_movies_with_ratings!G866/thousand_movies_with_ratings!I866</f>
        <v>56.110154905335627</v>
      </c>
    </row>
    <row r="867" spans="1:1" x14ac:dyDescent="0.3">
      <c r="A867">
        <f>thousand_movies_with_ratings!G867/thousand_movies_with_ratings!I867</f>
        <v>26.777469990766388</v>
      </c>
    </row>
    <row r="868" spans="1:1" x14ac:dyDescent="0.3">
      <c r="A868">
        <f>thousand_movies_with_ratings!G868/thousand_movies_with_ratings!I868</f>
        <v>74.193548387096769</v>
      </c>
    </row>
    <row r="869" spans="1:1" x14ac:dyDescent="0.3">
      <c r="A869">
        <f>thousand_movies_with_ratings!G869/thousand_movies_with_ratings!I869</f>
        <v>40.280210157618214</v>
      </c>
    </row>
    <row r="870" spans="1:1" x14ac:dyDescent="0.3">
      <c r="A870">
        <f>thousand_movies_with_ratings!G870/thousand_movies_with_ratings!I870</f>
        <v>39.31203931203931</v>
      </c>
    </row>
    <row r="871" spans="1:1" x14ac:dyDescent="0.3">
      <c r="A871">
        <f>thousand_movies_with_ratings!G871/thousand_movies_with_ratings!I871</f>
        <v>40.571428571428569</v>
      </c>
    </row>
    <row r="872" spans="1:1" x14ac:dyDescent="0.3">
      <c r="A872">
        <f>thousand_movies_with_ratings!G872/thousand_movies_with_ratings!I872</f>
        <v>31.65735567970205</v>
      </c>
    </row>
    <row r="873" spans="1:1" x14ac:dyDescent="0.3">
      <c r="A873">
        <f>thousand_movies_with_ratings!G873/thousand_movies_with_ratings!I873</f>
        <v>29.45736434108527</v>
      </c>
    </row>
    <row r="874" spans="1:1" x14ac:dyDescent="0.3">
      <c r="A874">
        <f>thousand_movies_with_ratings!G874/thousand_movies_with_ratings!I874</f>
        <v>16.925246826516219</v>
      </c>
    </row>
    <row r="875" spans="1:1" x14ac:dyDescent="0.3">
      <c r="A875">
        <f>thousand_movies_with_ratings!G875/thousand_movies_with_ratings!I875</f>
        <v>26.69172932330827</v>
      </c>
    </row>
    <row r="876" spans="1:1" x14ac:dyDescent="0.3">
      <c r="A876">
        <f>thousand_movies_with_ratings!G876/thousand_movies_with_ratings!I876</f>
        <v>37.956204379562045</v>
      </c>
    </row>
    <row r="877" spans="1:1" x14ac:dyDescent="0.3">
      <c r="A877">
        <f>thousand_movies_with_ratings!G877/thousand_movies_with_ratings!I877</f>
        <v>27.817403708987161</v>
      </c>
    </row>
    <row r="878" spans="1:1" x14ac:dyDescent="0.3">
      <c r="A878">
        <f>thousand_movies_with_ratings!G878/thousand_movies_with_ratings!I878</f>
        <v>45.734388742304311</v>
      </c>
    </row>
    <row r="879" spans="1:1" x14ac:dyDescent="0.3">
      <c r="A879">
        <f>thousand_movies_with_ratings!G879/thousand_movies_with_ratings!I879</f>
        <v>37.572254335260112</v>
      </c>
    </row>
    <row r="880" spans="1:1" x14ac:dyDescent="0.3">
      <c r="A880">
        <f>thousand_movies_with_ratings!G880/thousand_movies_with_ratings!I880</f>
        <v>68.403908794788279</v>
      </c>
    </row>
    <row r="881" spans="1:1" x14ac:dyDescent="0.3">
      <c r="A881">
        <f>thousand_movies_with_ratings!G881/thousand_movies_with_ratings!I881</f>
        <v>35.281539558089804</v>
      </c>
    </row>
    <row r="882" spans="1:1" x14ac:dyDescent="0.3">
      <c r="A882">
        <f>thousand_movies_with_ratings!G882/thousand_movies_with_ratings!I882</f>
        <v>30</v>
      </c>
    </row>
    <row r="883" spans="1:1" x14ac:dyDescent="0.3">
      <c r="A883">
        <f>thousand_movies_with_ratings!G883/thousand_movies_with_ratings!I883</f>
        <v>39.628482972136226</v>
      </c>
    </row>
    <row r="884" spans="1:1" x14ac:dyDescent="0.3">
      <c r="A884">
        <f>thousand_movies_with_ratings!G884/thousand_movies_with_ratings!I884</f>
        <v>41.044776119402982</v>
      </c>
    </row>
    <row r="885" spans="1:1" x14ac:dyDescent="0.3">
      <c r="A885">
        <f>thousand_movies_with_ratings!G885/thousand_movies_with_ratings!I885</f>
        <v>40</v>
      </c>
    </row>
    <row r="886" spans="1:1" x14ac:dyDescent="0.3">
      <c r="A886">
        <f>thousand_movies_with_ratings!G886/thousand_movies_with_ratings!I886</f>
        <v>22</v>
      </c>
    </row>
    <row r="887" spans="1:1" x14ac:dyDescent="0.3">
      <c r="A887">
        <f>thousand_movies_with_ratings!G887/thousand_movies_with_ratings!I887</f>
        <v>64.130915524104381</v>
      </c>
    </row>
    <row r="888" spans="1:1" x14ac:dyDescent="0.3">
      <c r="A888">
        <f>thousand_movies_with_ratings!G888/thousand_movies_with_ratings!I888</f>
        <v>15.285714285714286</v>
      </c>
    </row>
    <row r="889" spans="1:1" x14ac:dyDescent="0.3">
      <c r="A889">
        <f>thousand_movies_with_ratings!G889/thousand_movies_with_ratings!I889</f>
        <v>36.082474226804123</v>
      </c>
    </row>
    <row r="890" spans="1:1" x14ac:dyDescent="0.3">
      <c r="A890">
        <f>thousand_movies_with_ratings!G890/thousand_movies_with_ratings!I890</f>
        <v>53.895723491505564</v>
      </c>
    </row>
    <row r="891" spans="1:1" x14ac:dyDescent="0.3">
      <c r="A891">
        <f>thousand_movies_with_ratings!G891/thousand_movies_with_ratings!I891</f>
        <v>30.523255813953487</v>
      </c>
    </row>
    <row r="892" spans="1:1" x14ac:dyDescent="0.3">
      <c r="A892">
        <f>thousand_movies_with_ratings!G892/thousand_movies_with_ratings!I892</f>
        <v>22.181891510385157</v>
      </c>
    </row>
    <row r="893" spans="1:1" x14ac:dyDescent="0.3">
      <c r="A893">
        <f>thousand_movies_with_ratings!G893/thousand_movies_with_ratings!I893</f>
        <v>40.272727272727273</v>
      </c>
    </row>
    <row r="894" spans="1:1" x14ac:dyDescent="0.3">
      <c r="A894">
        <f>thousand_movies_with_ratings!G894/thousand_movies_with_ratings!I894</f>
        <v>52.631578947368418</v>
      </c>
    </row>
    <row r="895" spans="1:1" x14ac:dyDescent="0.3">
      <c r="A895">
        <f>thousand_movies_with_ratings!G895/thousand_movies_with_ratings!I895</f>
        <v>38.510911424903725</v>
      </c>
    </row>
    <row r="896" spans="1:1" x14ac:dyDescent="0.3">
      <c r="A896">
        <f>thousand_movies_with_ratings!G896/thousand_movies_with_ratings!I896</f>
        <v>29.025570145127851</v>
      </c>
    </row>
    <row r="897" spans="1:1" x14ac:dyDescent="0.3">
      <c r="A897">
        <f>thousand_movies_with_ratings!G897/thousand_movies_with_ratings!I897</f>
        <v>16.93121693121693</v>
      </c>
    </row>
    <row r="898" spans="1:1" x14ac:dyDescent="0.3">
      <c r="A898">
        <f>thousand_movies_with_ratings!G898/thousand_movies_with_ratings!I898</f>
        <v>48.8</v>
      </c>
    </row>
    <row r="899" spans="1:1" x14ac:dyDescent="0.3">
      <c r="A899">
        <f>thousand_movies_with_ratings!G899/thousand_movies_with_ratings!I899</f>
        <v>11.410788381742739</v>
      </c>
    </row>
    <row r="900" spans="1:1" x14ac:dyDescent="0.3">
      <c r="A900">
        <f>thousand_movies_with_ratings!G900/thousand_movies_with_ratings!I900</f>
        <v>39.832285115303982</v>
      </c>
    </row>
    <row r="901" spans="1:1" x14ac:dyDescent="0.3">
      <c r="A901">
        <f>thousand_movies_with_ratings!G901/thousand_movies_with_ratings!I901</f>
        <v>21.784961349262122</v>
      </c>
    </row>
    <row r="902" spans="1:1" x14ac:dyDescent="0.3">
      <c r="A902">
        <f>thousand_movies_with_ratings!G902/thousand_movies_with_ratings!I902</f>
        <v>33.63914373088685</v>
      </c>
    </row>
    <row r="903" spans="1:1" x14ac:dyDescent="0.3">
      <c r="A903">
        <f>thousand_movies_with_ratings!G903/thousand_movies_with_ratings!I903</f>
        <v>54.761074293686782</v>
      </c>
    </row>
    <row r="904" spans="1:1" x14ac:dyDescent="0.3">
      <c r="A904">
        <f>thousand_movies_with_ratings!G904/thousand_movies_with_ratings!I904</f>
        <v>34.313725490196077</v>
      </c>
    </row>
    <row r="905" spans="1:1" x14ac:dyDescent="0.3">
      <c r="A905">
        <f>thousand_movies_with_ratings!G905/thousand_movies_with_ratings!I905</f>
        <v>50.458715596330272</v>
      </c>
    </row>
    <row r="906" spans="1:1" x14ac:dyDescent="0.3">
      <c r="A906">
        <f>thousand_movies_with_ratings!G906/thousand_movies_with_ratings!I906</f>
        <v>34.556087187666137</v>
      </c>
    </row>
    <row r="907" spans="1:1" x14ac:dyDescent="0.3">
      <c r="A907">
        <f>thousand_movies_with_ratings!G907/thousand_movies_with_ratings!I907</f>
        <v>83.333333333333329</v>
      </c>
    </row>
    <row r="908" spans="1:1" x14ac:dyDescent="0.3">
      <c r="A908">
        <f>thousand_movies_with_ratings!G908/thousand_movies_with_ratings!I908</f>
        <v>40.689655172413794</v>
      </c>
    </row>
    <row r="909" spans="1:1" x14ac:dyDescent="0.3">
      <c r="A909">
        <f>thousand_movies_with_ratings!G909/thousand_movies_with_ratings!I909</f>
        <v>49.353701527614568</v>
      </c>
    </row>
    <row r="910" spans="1:1" x14ac:dyDescent="0.3">
      <c r="A910">
        <f>thousand_movies_with_ratings!G910/thousand_movies_with_ratings!I910</f>
        <v>40.145985401459853</v>
      </c>
    </row>
    <row r="911" spans="1:1" x14ac:dyDescent="0.3">
      <c r="A911">
        <f>thousand_movies_with_ratings!G911/thousand_movies_with_ratings!I911</f>
        <v>55.432372505543235</v>
      </c>
    </row>
    <row r="912" spans="1:1" x14ac:dyDescent="0.3">
      <c r="A912">
        <f>thousand_movies_with_ratings!G912/thousand_movies_with_ratings!I912</f>
        <v>40.690505548705303</v>
      </c>
    </row>
    <row r="913" spans="1:1" x14ac:dyDescent="0.3">
      <c r="A913">
        <f>thousand_movies_with_ratings!G913/thousand_movies_with_ratings!I913</f>
        <v>35.206499661475966</v>
      </c>
    </row>
    <row r="914" spans="1:1" x14ac:dyDescent="0.3">
      <c r="A914">
        <f>thousand_movies_with_ratings!G914/thousand_movies_with_ratings!I914</f>
        <v>45.969353764157226</v>
      </c>
    </row>
    <row r="915" spans="1:1" x14ac:dyDescent="0.3">
      <c r="A915">
        <f>thousand_movies_with_ratings!G915/thousand_movies_with_ratings!I915</f>
        <v>18.628912071535023</v>
      </c>
    </row>
    <row r="916" spans="1:1" x14ac:dyDescent="0.3">
      <c r="A916">
        <f>thousand_movies_with_ratings!G916/thousand_movies_with_ratings!I916</f>
        <v>36.247334754797443</v>
      </c>
    </row>
    <row r="917" spans="1:1" x14ac:dyDescent="0.3">
      <c r="A917">
        <f>thousand_movies_with_ratings!G917/thousand_movies_with_ratings!I917</f>
        <v>58.46153846153846</v>
      </c>
    </row>
    <row r="918" spans="1:1" x14ac:dyDescent="0.3">
      <c r="A918">
        <f>thousand_movies_with_ratings!G918/thousand_movies_with_ratings!I918</f>
        <v>19.469026548672566</v>
      </c>
    </row>
    <row r="919" spans="1:1" x14ac:dyDescent="0.3">
      <c r="A919">
        <f>thousand_movies_with_ratings!G919/thousand_movies_with_ratings!I919</f>
        <v>28.153762858689767</v>
      </c>
    </row>
    <row r="920" spans="1:1" x14ac:dyDescent="0.3">
      <c r="A920">
        <f>thousand_movies_with_ratings!G920/thousand_movies_with_ratings!I920</f>
        <v>28.91566265060241</v>
      </c>
    </row>
    <row r="921" spans="1:1" x14ac:dyDescent="0.3">
      <c r="A921">
        <f>thousand_movies_with_ratings!G921/thousand_movies_with_ratings!I921</f>
        <v>32.200357781753134</v>
      </c>
    </row>
    <row r="922" spans="1:1" x14ac:dyDescent="0.3">
      <c r="A922">
        <f>thousand_movies_with_ratings!G922/thousand_movies_with_ratings!I922</f>
        <v>39.83050847457627</v>
      </c>
    </row>
    <row r="923" spans="1:1" x14ac:dyDescent="0.3">
      <c r="A923">
        <f>thousand_movies_with_ratings!G923/thousand_movies_with_ratings!I923</f>
        <v>43.75</v>
      </c>
    </row>
    <row r="924" spans="1:1" x14ac:dyDescent="0.3">
      <c r="A924">
        <f>thousand_movies_with_ratings!G924/thousand_movies_with_ratings!I924</f>
        <v>31.684587813620073</v>
      </c>
    </row>
    <row r="925" spans="1:1" x14ac:dyDescent="0.3">
      <c r="A925">
        <f>thousand_movies_with_ratings!G925/thousand_movies_with_ratings!I925</f>
        <v>23.679417122040071</v>
      </c>
    </row>
    <row r="926" spans="1:1" x14ac:dyDescent="0.3">
      <c r="A926">
        <f>thousand_movies_with_ratings!G926/thousand_movies_with_ratings!I926</f>
        <v>45.454545454545453</v>
      </c>
    </row>
    <row r="927" spans="1:1" x14ac:dyDescent="0.3">
      <c r="A927">
        <f>thousand_movies_with_ratings!G927/thousand_movies_with_ratings!I927</f>
        <v>40.816326530612244</v>
      </c>
    </row>
    <row r="928" spans="1:1" x14ac:dyDescent="0.3">
      <c r="A928">
        <f>thousand_movies_with_ratings!G928/thousand_movies_with_ratings!I928</f>
        <v>62.5</v>
      </c>
    </row>
    <row r="929" spans="1:1" x14ac:dyDescent="0.3">
      <c r="A929">
        <f>thousand_movies_with_ratings!G929/thousand_movies_with_ratings!I929</f>
        <v>33.333333333333336</v>
      </c>
    </row>
    <row r="930" spans="1:1" x14ac:dyDescent="0.3">
      <c r="A930">
        <f>thousand_movies_with_ratings!G930/thousand_movies_with_ratings!I930</f>
        <v>8.625336927223719</v>
      </c>
    </row>
    <row r="931" spans="1:1" x14ac:dyDescent="0.3">
      <c r="A931">
        <f>thousand_movies_with_ratings!G931/thousand_movies_with_ratings!I931</f>
        <v>22.598870056497177</v>
      </c>
    </row>
    <row r="932" spans="1:1" x14ac:dyDescent="0.3">
      <c r="A932">
        <f>thousand_movies_with_ratings!G932/thousand_movies_with_ratings!I932</f>
        <v>101.58013544018058</v>
      </c>
    </row>
    <row r="933" spans="1:1" x14ac:dyDescent="0.3">
      <c r="A933">
        <f>thousand_movies_with_ratings!G933/thousand_movies_with_ratings!I933</f>
        <v>23.232065356139902</v>
      </c>
    </row>
    <row r="934" spans="1:1" x14ac:dyDescent="0.3">
      <c r="A934">
        <f>thousand_movies_with_ratings!G934/thousand_movies_with_ratings!I934</f>
        <v>9.6491228070175445</v>
      </c>
    </row>
    <row r="935" spans="1:1" x14ac:dyDescent="0.3">
      <c r="A935">
        <f>thousand_movies_with_ratings!G935/thousand_movies_with_ratings!I935</f>
        <v>48.888888888888886</v>
      </c>
    </row>
    <row r="936" spans="1:1" x14ac:dyDescent="0.3">
      <c r="A936">
        <f>thousand_movies_with_ratings!G936/thousand_movies_with_ratings!I936</f>
        <v>36.452004860267316</v>
      </c>
    </row>
    <row r="937" spans="1:1" x14ac:dyDescent="0.3">
      <c r="A937">
        <f>thousand_movies_with_ratings!G937/thousand_movies_with_ratings!I937</f>
        <v>25.655976676384839</v>
      </c>
    </row>
    <row r="938" spans="1:1" x14ac:dyDescent="0.3">
      <c r="A938">
        <f>thousand_movies_with_ratings!G938/thousand_movies_with_ratings!I938</f>
        <v>17.584745762711865</v>
      </c>
    </row>
    <row r="939" spans="1:1" x14ac:dyDescent="0.3">
      <c r="A939">
        <f>thousand_movies_with_ratings!G939/thousand_movies_with_ratings!I939</f>
        <v>8.92018779342723</v>
      </c>
    </row>
    <row r="940" spans="1:1" x14ac:dyDescent="0.3">
      <c r="A940">
        <f>thousand_movies_with_ratings!G940/thousand_movies_with_ratings!I940</f>
        <v>31.03448275862069</v>
      </c>
    </row>
    <row r="941" spans="1:1" x14ac:dyDescent="0.3">
      <c r="A941">
        <f>thousand_movies_with_ratings!G941/thousand_movies_with_ratings!I941</f>
        <v>26.699029126213592</v>
      </c>
    </row>
    <row r="942" spans="1:1" x14ac:dyDescent="0.3">
      <c r="A942">
        <f>thousand_movies_with_ratings!G942/thousand_movies_with_ratings!I942</f>
        <v>564.51612903225805</v>
      </c>
    </row>
    <row r="943" spans="1:1" x14ac:dyDescent="0.3">
      <c r="A943">
        <f>thousand_movies_with_ratings!G943/thousand_movies_with_ratings!I943</f>
        <v>37.931034482758619</v>
      </c>
    </row>
    <row r="944" spans="1:1" x14ac:dyDescent="0.3">
      <c r="A944">
        <f>thousand_movies_with_ratings!G944/thousand_movies_with_ratings!I944</f>
        <v>22.33009708737864</v>
      </c>
    </row>
    <row r="945" spans="1:1" x14ac:dyDescent="0.3">
      <c r="A945">
        <f>thousand_movies_with_ratings!G945/thousand_movies_with_ratings!I945</f>
        <v>26.369168356997971</v>
      </c>
    </row>
    <row r="946" spans="1:1" x14ac:dyDescent="0.3">
      <c r="A946">
        <f>thousand_movies_with_ratings!G946/thousand_movies_with_ratings!I946</f>
        <v>85.106382978723403</v>
      </c>
    </row>
    <row r="947" spans="1:1" x14ac:dyDescent="0.3">
      <c r="A947">
        <f>thousand_movies_with_ratings!G947/thousand_movies_with_ratings!I947</f>
        <v>25.036818851251841</v>
      </c>
    </row>
    <row r="948" spans="1:1" x14ac:dyDescent="0.3">
      <c r="A948">
        <f>thousand_movies_with_ratings!G948/thousand_movies_with_ratings!I948</f>
        <v>22.735294117647058</v>
      </c>
    </row>
    <row r="949" spans="1:1" x14ac:dyDescent="0.3">
      <c r="A949">
        <f>thousand_movies_with_ratings!G949/thousand_movies_with_ratings!I949</f>
        <v>30.232558139534884</v>
      </c>
    </row>
    <row r="950" spans="1:1" x14ac:dyDescent="0.3">
      <c r="A950">
        <f>thousand_movies_with_ratings!G950/thousand_movies_with_ratings!I950</f>
        <v>1.9280205655526992</v>
      </c>
    </row>
    <row r="951" spans="1:1" x14ac:dyDescent="0.3">
      <c r="A951">
        <f>thousand_movies_with_ratings!G951/thousand_movies_with_ratings!I951</f>
        <v>37.190082644628099</v>
      </c>
    </row>
    <row r="952" spans="1:1" x14ac:dyDescent="0.3">
      <c r="A952">
        <f>thousand_movies_with_ratings!G952/thousand_movies_with_ratings!I952</f>
        <v>40.345821325648416</v>
      </c>
    </row>
    <row r="953" spans="1:1" x14ac:dyDescent="0.3">
      <c r="A953">
        <f>thousand_movies_with_ratings!G953/thousand_movies_with_ratings!I953</f>
        <v>40.15748031496063</v>
      </c>
    </row>
    <row r="954" spans="1:1" x14ac:dyDescent="0.3">
      <c r="A954">
        <f>thousand_movies_with_ratings!G954/thousand_movies_with_ratings!I954</f>
        <v>41.935483870967744</v>
      </c>
    </row>
    <row r="955" spans="1:1" x14ac:dyDescent="0.3">
      <c r="A955">
        <f>thousand_movies_with_ratings!G955/thousand_movies_with_ratings!I955</f>
        <v>41.095890410958901</v>
      </c>
    </row>
    <row r="956" spans="1:1" x14ac:dyDescent="0.3">
      <c r="A956">
        <f>thousand_movies_with_ratings!G956/thousand_movies_with_ratings!I956</f>
        <v>33.469387755102041</v>
      </c>
    </row>
    <row r="957" spans="1:1" x14ac:dyDescent="0.3">
      <c r="A957">
        <f>thousand_movies_with_ratings!G957/thousand_movies_with_ratings!I957</f>
        <v>44.776119402985074</v>
      </c>
    </row>
    <row r="958" spans="1:1" x14ac:dyDescent="0.3">
      <c r="A958">
        <f>thousand_movies_with_ratings!G958/thousand_movies_with_ratings!I958</f>
        <v>126</v>
      </c>
    </row>
    <row r="959" spans="1:1" x14ac:dyDescent="0.3">
      <c r="A959">
        <f>thousand_movies_with_ratings!G959/thousand_movies_with_ratings!I959</f>
        <v>40</v>
      </c>
    </row>
    <row r="960" spans="1:1" x14ac:dyDescent="0.3">
      <c r="A960">
        <f>thousand_movies_with_ratings!G960/thousand_movies_with_ratings!I960</f>
        <v>68.421052631578945</v>
      </c>
    </row>
    <row r="961" spans="1:1" x14ac:dyDescent="0.3">
      <c r="A961">
        <f>thousand_movies_with_ratings!G961/thousand_movies_with_ratings!I961</f>
        <v>43.07692307692308</v>
      </c>
    </row>
    <row r="962" spans="1:1" x14ac:dyDescent="0.3">
      <c r="A962">
        <f>thousand_movies_with_ratings!G962/thousand_movies_with_ratings!I962</f>
        <v>50.108932461873636</v>
      </c>
    </row>
    <row r="963" spans="1:1" x14ac:dyDescent="0.3">
      <c r="A963">
        <f>thousand_movies_with_ratings!G963/thousand_movies_with_ratings!I963</f>
        <v>33.333333333333336</v>
      </c>
    </row>
    <row r="964" spans="1:1" x14ac:dyDescent="0.3">
      <c r="A964">
        <f>thousand_movies_with_ratings!G964/thousand_movies_with_ratings!I964</f>
        <v>53.720652606446478</v>
      </c>
    </row>
    <row r="965" spans="1:1" x14ac:dyDescent="0.3">
      <c r="A965">
        <f>thousand_movies_with_ratings!G965/thousand_movies_with_ratings!I965</f>
        <v>36.858974358974358</v>
      </c>
    </row>
    <row r="966" spans="1:1" x14ac:dyDescent="0.3">
      <c r="A966">
        <f>thousand_movies_with_ratings!G966/thousand_movies_with_ratings!I966</f>
        <v>49.180327868852459</v>
      </c>
    </row>
    <row r="967" spans="1:1" x14ac:dyDescent="0.3">
      <c r="A967">
        <f>thousand_movies_with_ratings!G967/thousand_movies_with_ratings!I967</f>
        <v>30.136986301369863</v>
      </c>
    </row>
    <row r="968" spans="1:1" x14ac:dyDescent="0.3">
      <c r="A968">
        <f>thousand_movies_with_ratings!G968/thousand_movies_with_ratings!I968</f>
        <v>12.539184952978056</v>
      </c>
    </row>
    <row r="969" spans="1:1" x14ac:dyDescent="0.3">
      <c r="A969">
        <f>thousand_movies_with_ratings!G969/thousand_movies_with_ratings!I969</f>
        <v>42.483660130718953</v>
      </c>
    </row>
    <row r="970" spans="1:1" x14ac:dyDescent="0.3">
      <c r="A970">
        <f>thousand_movies_with_ratings!G970/thousand_movies_with_ratings!I970</f>
        <v>33.391915641476274</v>
      </c>
    </row>
    <row r="971" spans="1:1" x14ac:dyDescent="0.3">
      <c r="A971">
        <f>thousand_movies_with_ratings!G971/thousand_movies_with_ratings!I971</f>
        <v>12.133891213389122</v>
      </c>
    </row>
    <row r="972" spans="1:1" x14ac:dyDescent="0.3">
      <c r="A972">
        <f>thousand_movies_with_ratings!G972/thousand_movies_with_ratings!I972</f>
        <v>600</v>
      </c>
    </row>
    <row r="973" spans="1:1" x14ac:dyDescent="0.3">
      <c r="A973">
        <f>thousand_movies_with_ratings!G973/thousand_movies_with_ratings!I973</f>
        <v>14.634146341463415</v>
      </c>
    </row>
    <row r="974" spans="1:1" x14ac:dyDescent="0.3">
      <c r="A974">
        <f>thousand_movies_with_ratings!G974/thousand_movies_with_ratings!I974</f>
        <v>57.654075546719682</v>
      </c>
    </row>
    <row r="975" spans="1:1" x14ac:dyDescent="0.3">
      <c r="A975">
        <f>thousand_movies_with_ratings!G975/thousand_movies_with_ratings!I975</f>
        <v>32.374100719424462</v>
      </c>
    </row>
    <row r="976" spans="1:1" x14ac:dyDescent="0.3">
      <c r="A976">
        <f>thousand_movies_with_ratings!G976/thousand_movies_with_ratings!I976</f>
        <v>21.067415730337078</v>
      </c>
    </row>
    <row r="977" spans="1:1" x14ac:dyDescent="0.3">
      <c r="A977">
        <f>thousand_movies_with_ratings!G977/thousand_movies_with_ratings!I977</f>
        <v>35.877364644487933</v>
      </c>
    </row>
    <row r="978" spans="1:1" x14ac:dyDescent="0.3">
      <c r="A978">
        <f>thousand_movies_with_ratings!G978/thousand_movies_with_ratings!I978</f>
        <v>35.175879396984925</v>
      </c>
    </row>
    <row r="979" spans="1:1" x14ac:dyDescent="0.3">
      <c r="A979">
        <f>thousand_movies_with_ratings!G979/thousand_movies_with_ratings!I979</f>
        <v>41.533546325878596</v>
      </c>
    </row>
    <row r="980" spans="1:1" x14ac:dyDescent="0.3">
      <c r="A980">
        <f>thousand_movies_with_ratings!G980/thousand_movies_with_ratings!I980</f>
        <v>22.561863173216885</v>
      </c>
    </row>
    <row r="981" spans="1:1" x14ac:dyDescent="0.3">
      <c r="A981">
        <f>thousand_movies_with_ratings!G981/thousand_movies_with_ratings!I981</f>
        <v>13.758389261744966</v>
      </c>
    </row>
    <row r="982" spans="1:1" x14ac:dyDescent="0.3">
      <c r="A982">
        <f>thousand_movies_with_ratings!G982/thousand_movies_with_ratings!I982</f>
        <v>47.333333333333336</v>
      </c>
    </row>
    <row r="983" spans="1:1" x14ac:dyDescent="0.3">
      <c r="A983">
        <f>thousand_movies_with_ratings!G983/thousand_movies_with_ratings!I983</f>
        <v>20.595968448729185</v>
      </c>
    </row>
    <row r="984" spans="1:1" x14ac:dyDescent="0.3">
      <c r="A984">
        <f>thousand_movies_with_ratings!G984/thousand_movies_with_ratings!I984</f>
        <v>19.960079840319363</v>
      </c>
    </row>
    <row r="985" spans="1:1" x14ac:dyDescent="0.3">
      <c r="A985">
        <f>thousand_movies_with_ratings!G985/thousand_movies_with_ratings!I985</f>
        <v>34.214945424013436</v>
      </c>
    </row>
    <row r="986" spans="1:1" x14ac:dyDescent="0.3">
      <c r="A986">
        <f>thousand_movies_with_ratings!G986/thousand_movies_with_ratings!I986</f>
        <v>26.807980049875312</v>
      </c>
    </row>
    <row r="987" spans="1:1" x14ac:dyDescent="0.3">
      <c r="A987">
        <f>thousand_movies_with_ratings!G987/thousand_movies_with_ratings!I987</f>
        <v>35.087719298245617</v>
      </c>
    </row>
    <row r="988" spans="1:1" x14ac:dyDescent="0.3">
      <c r="A988">
        <f>thousand_movies_with_ratings!G988/thousand_movies_with_ratings!I988</f>
        <v>26.515151515151516</v>
      </c>
    </row>
    <row r="989" spans="1:1" x14ac:dyDescent="0.3">
      <c r="A989">
        <f>thousand_movies_with_ratings!G989/thousand_movies_with_ratings!I989</f>
        <v>26.55367231638418</v>
      </c>
    </row>
    <row r="990" spans="1:1" x14ac:dyDescent="0.3">
      <c r="A990">
        <f>thousand_movies_with_ratings!G990/thousand_movies_with_ratings!I990</f>
        <v>49.275362318840578</v>
      </c>
    </row>
    <row r="991" spans="1:1" x14ac:dyDescent="0.3">
      <c r="A991">
        <f>thousand_movies_with_ratings!G991/thousand_movies_with_ratings!I991</f>
        <v>21.56549520766773</v>
      </c>
    </row>
    <row r="992" spans="1:1" x14ac:dyDescent="0.3">
      <c r="A992">
        <f>thousand_movies_with_ratings!G992/thousand_movies_with_ratings!I992</f>
        <v>31.612903225806452</v>
      </c>
    </row>
    <row r="993" spans="1:1" x14ac:dyDescent="0.3">
      <c r="A993">
        <f>thousand_movies_with_ratings!G993/thousand_movies_with_ratings!I993</f>
        <v>31.485284052019164</v>
      </c>
    </row>
    <row r="994" spans="1:1" x14ac:dyDescent="0.3">
      <c r="A994">
        <f>thousand_movies_with_ratings!G994/thousand_movies_with_ratings!I994</f>
        <v>39.161392405063289</v>
      </c>
    </row>
    <row r="995" spans="1:1" x14ac:dyDescent="0.3">
      <c r="A995">
        <f>thousand_movies_with_ratings!G995/thousand_movies_with_ratings!I995</f>
        <v>22.06531332744925</v>
      </c>
    </row>
    <row r="996" spans="1:1" x14ac:dyDescent="0.3">
      <c r="A996">
        <f>thousand_movies_with_ratings!G996/thousand_movies_with_ratings!I996</f>
        <v>30.037546933667084</v>
      </c>
    </row>
    <row r="997" spans="1:1" x14ac:dyDescent="0.3">
      <c r="A997">
        <f>thousand_movies_with_ratings!G997/thousand_movies_with_ratings!I997</f>
        <v>36.231884057971016</v>
      </c>
    </row>
    <row r="998" spans="1:1" x14ac:dyDescent="0.3">
      <c r="A998">
        <f>thousand_movies_with_ratings!G998/thousand_movies_with_ratings!I998</f>
        <v>34.883720930232556</v>
      </c>
    </row>
    <row r="999" spans="1:1" x14ac:dyDescent="0.3">
      <c r="A999">
        <f>thousand_movies_with_ratings!G999/thousand_movies_with_ratings!I999</f>
        <v>42.701092353525326</v>
      </c>
    </row>
    <row r="1000" spans="1:1" x14ac:dyDescent="0.3">
      <c r="A1000">
        <f>thousand_movies_with_ratings!G1000/thousand_movies_with_ratings!I1000</f>
        <v>21.262886597938145</v>
      </c>
    </row>
    <row r="1001" spans="1:1" x14ac:dyDescent="0.3">
      <c r="A1001">
        <f>thousand_movies_with_ratings!G1001/thousand_movies_with_ratings!I1001</f>
        <v>5.6265984654731458</v>
      </c>
    </row>
  </sheetData>
  <sortState xmlns:xlrd2="http://schemas.microsoft.com/office/spreadsheetml/2017/richdata2" ref="G2:G1002">
    <sortCondition descending="1" ref="G1:G100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E744-FDA8-4EAB-BE1A-352E4A9D7FD1}">
  <dimension ref="A1:Y1001"/>
  <sheetViews>
    <sheetView topLeftCell="M9" zoomScale="115" zoomScaleNormal="115" workbookViewId="0">
      <selection activeCell="O47" sqref="O47"/>
    </sheetView>
  </sheetViews>
  <sheetFormatPr defaultRowHeight="14.4" x14ac:dyDescent="0.3"/>
  <cols>
    <col min="1" max="4" width="0" hidden="1" customWidth="1"/>
    <col min="5" max="5" width="11.5546875" hidden="1" customWidth="1"/>
    <col min="6" max="12" width="0" hidden="1" customWidth="1"/>
    <col min="14" max="14" width="10.109375" customWidth="1"/>
    <col min="15" max="15" width="27.88671875" customWidth="1"/>
    <col min="18" max="18" width="11.109375" customWidth="1"/>
    <col min="22" max="22" width="10.66406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2016</v>
      </c>
      <c r="H1" t="s">
        <v>7</v>
      </c>
      <c r="I1" t="s">
        <v>8</v>
      </c>
      <c r="J1" t="s">
        <v>5</v>
      </c>
      <c r="K1" t="s">
        <v>9</v>
      </c>
      <c r="M1" t="s">
        <v>2047</v>
      </c>
    </row>
    <row r="2" spans="1:25" x14ac:dyDescent="0.3">
      <c r="A2" s="25" t="s">
        <v>1094</v>
      </c>
      <c r="B2" s="25" t="s">
        <v>1095</v>
      </c>
      <c r="C2" s="25">
        <v>192</v>
      </c>
      <c r="D2" s="25" t="s">
        <v>15</v>
      </c>
      <c r="E2" s="26">
        <v>44911</v>
      </c>
      <c r="F2" s="25">
        <v>7.5</v>
      </c>
      <c r="G2" s="25">
        <v>530000</v>
      </c>
      <c r="H2" s="25">
        <v>7.593</v>
      </c>
      <c r="I2" s="25">
        <v>13962</v>
      </c>
      <c r="J2">
        <v>67</v>
      </c>
      <c r="K2">
        <v>76</v>
      </c>
      <c r="M2" s="24" t="s">
        <v>2048</v>
      </c>
    </row>
    <row r="3" spans="1:25" x14ac:dyDescent="0.3">
      <c r="A3" s="25" t="s">
        <v>820</v>
      </c>
      <c r="B3" s="25" t="s">
        <v>821</v>
      </c>
      <c r="C3" s="25">
        <v>176</v>
      </c>
      <c r="D3" s="25" t="s">
        <v>15</v>
      </c>
      <c r="E3" s="26">
        <v>44624</v>
      </c>
      <c r="F3" s="25">
        <v>7.8</v>
      </c>
      <c r="G3" s="25">
        <v>864000</v>
      </c>
      <c r="H3" s="25">
        <v>7.6580000000000004</v>
      </c>
      <c r="I3" s="25">
        <v>11781</v>
      </c>
      <c r="J3">
        <v>72</v>
      </c>
      <c r="K3">
        <v>85</v>
      </c>
    </row>
    <row r="4" spans="1:25" ht="15" thickBot="1" x14ac:dyDescent="0.35">
      <c r="A4" s="25" t="s">
        <v>470</v>
      </c>
      <c r="B4" s="25" t="s">
        <v>471</v>
      </c>
      <c r="C4" s="25">
        <v>180</v>
      </c>
      <c r="D4" s="25" t="s">
        <v>28</v>
      </c>
      <c r="E4" s="26">
        <v>45128</v>
      </c>
      <c r="F4" s="25">
        <v>8.3000000000000007</v>
      </c>
      <c r="G4" s="25">
        <v>869000</v>
      </c>
      <c r="H4" s="25">
        <v>8</v>
      </c>
      <c r="I4" s="25">
        <v>11599</v>
      </c>
      <c r="J4">
        <v>90</v>
      </c>
      <c r="K4">
        <v>93</v>
      </c>
    </row>
    <row r="5" spans="1:25" x14ac:dyDescent="0.3">
      <c r="A5" t="s">
        <v>673</v>
      </c>
      <c r="B5" t="s">
        <v>674</v>
      </c>
      <c r="C5">
        <v>114</v>
      </c>
      <c r="D5" t="s">
        <v>15</v>
      </c>
      <c r="E5" s="1">
        <v>45128</v>
      </c>
      <c r="G5">
        <v>601000</v>
      </c>
      <c r="I5">
        <v>10964</v>
      </c>
      <c r="J5">
        <v>80</v>
      </c>
      <c r="K5">
        <v>88</v>
      </c>
      <c r="N5" s="21" t="s">
        <v>2039</v>
      </c>
      <c r="O5" s="22"/>
      <c r="P5" s="22"/>
      <c r="Q5" s="22"/>
      <c r="R5" s="22"/>
      <c r="S5" s="22" t="s">
        <v>2040</v>
      </c>
      <c r="T5" s="22" t="s">
        <v>2023</v>
      </c>
      <c r="U5" s="22" t="s">
        <v>2041</v>
      </c>
      <c r="V5" s="23" t="s">
        <v>2025</v>
      </c>
    </row>
    <row r="6" spans="1:25" x14ac:dyDescent="0.3">
      <c r="A6" s="25" t="s">
        <v>322</v>
      </c>
      <c r="B6" s="25" t="s">
        <v>323</v>
      </c>
      <c r="C6" s="25">
        <v>130</v>
      </c>
      <c r="D6" s="25" t="s">
        <v>15</v>
      </c>
      <c r="E6" s="26">
        <v>44708</v>
      </c>
      <c r="F6" s="25">
        <v>8.1999999999999993</v>
      </c>
      <c r="G6" s="25">
        <v>764000</v>
      </c>
      <c r="H6" s="25">
        <v>8.1519999999999992</v>
      </c>
      <c r="I6" s="25">
        <v>10763</v>
      </c>
      <c r="J6">
        <v>78</v>
      </c>
      <c r="K6">
        <v>96</v>
      </c>
      <c r="N6" s="5" t="s">
        <v>356</v>
      </c>
      <c r="O6" t="s">
        <v>357</v>
      </c>
      <c r="P6">
        <v>140</v>
      </c>
      <c r="Q6" t="s">
        <v>12</v>
      </c>
      <c r="R6" s="1">
        <v>45079</v>
      </c>
      <c r="S6">
        <v>8.5</v>
      </c>
      <c r="T6">
        <v>444000</v>
      </c>
      <c r="U6">
        <v>8.3330000000000002</v>
      </c>
      <c r="V6" s="6">
        <v>8445</v>
      </c>
    </row>
    <row r="7" spans="1:25" x14ac:dyDescent="0.3">
      <c r="A7" s="29" t="s">
        <v>1422</v>
      </c>
      <c r="B7" s="29" t="s">
        <v>1423</v>
      </c>
      <c r="C7" s="29">
        <v>92</v>
      </c>
      <c r="D7" s="29" t="s">
        <v>12</v>
      </c>
      <c r="E7" s="30">
        <v>45021</v>
      </c>
      <c r="F7" s="29"/>
      <c r="G7" s="29">
        <v>264000</v>
      </c>
      <c r="H7" s="29">
        <v>7.6</v>
      </c>
      <c r="I7" s="29">
        <v>10483</v>
      </c>
      <c r="J7">
        <v>46</v>
      </c>
      <c r="K7">
        <v>59</v>
      </c>
      <c r="N7" s="5" t="s">
        <v>511</v>
      </c>
      <c r="O7" t="s">
        <v>512</v>
      </c>
      <c r="P7">
        <v>166</v>
      </c>
      <c r="Q7" t="s">
        <v>15</v>
      </c>
      <c r="R7" s="1">
        <v>45352</v>
      </c>
      <c r="S7">
        <v>8.5</v>
      </c>
      <c r="T7">
        <v>615000</v>
      </c>
      <c r="U7">
        <v>8.1289999999999996</v>
      </c>
      <c r="V7" s="6">
        <v>7787</v>
      </c>
    </row>
    <row r="8" spans="1:25" x14ac:dyDescent="0.3">
      <c r="A8" t="s">
        <v>1168</v>
      </c>
      <c r="B8" t="s">
        <v>1169</v>
      </c>
      <c r="C8">
        <v>126</v>
      </c>
      <c r="D8" t="s">
        <v>15</v>
      </c>
      <c r="E8" s="1">
        <v>44687</v>
      </c>
      <c r="G8">
        <v>510000</v>
      </c>
      <c r="I8">
        <v>10205</v>
      </c>
      <c r="J8">
        <v>60</v>
      </c>
      <c r="K8">
        <v>73</v>
      </c>
      <c r="N8" s="5" t="s">
        <v>470</v>
      </c>
      <c r="O8" t="s">
        <v>471</v>
      </c>
      <c r="P8">
        <v>180</v>
      </c>
      <c r="Q8" t="s">
        <v>28</v>
      </c>
      <c r="R8" s="1">
        <v>45128</v>
      </c>
      <c r="S8">
        <v>8.3000000000000007</v>
      </c>
      <c r="T8">
        <v>869000</v>
      </c>
      <c r="U8">
        <v>8</v>
      </c>
      <c r="V8" s="6">
        <v>11599</v>
      </c>
    </row>
    <row r="9" spans="1:25" x14ac:dyDescent="0.3">
      <c r="A9" s="25" t="s">
        <v>31</v>
      </c>
      <c r="B9" s="25" t="s">
        <v>32</v>
      </c>
      <c r="C9" s="25">
        <v>102</v>
      </c>
      <c r="D9" s="25" t="s">
        <v>12</v>
      </c>
      <c r="E9" s="26">
        <v>44916</v>
      </c>
      <c r="F9" s="25">
        <v>7.8</v>
      </c>
      <c r="G9" s="25">
        <v>201000</v>
      </c>
      <c r="H9" s="25">
        <v>8.2010000000000005</v>
      </c>
      <c r="I9" s="25">
        <v>8729</v>
      </c>
      <c r="J9">
        <v>73</v>
      </c>
      <c r="K9">
        <v>95</v>
      </c>
      <c r="N9" s="5" t="s">
        <v>228</v>
      </c>
      <c r="O9" t="s">
        <v>229</v>
      </c>
      <c r="P9">
        <v>102</v>
      </c>
      <c r="Q9" t="s">
        <v>12</v>
      </c>
      <c r="R9" s="1">
        <v>45562</v>
      </c>
      <c r="S9">
        <v>8.1999999999999993</v>
      </c>
      <c r="T9">
        <v>154000</v>
      </c>
      <c r="U9">
        <v>8.3070000000000004</v>
      </c>
      <c r="V9" s="6">
        <v>5900</v>
      </c>
    </row>
    <row r="10" spans="1:25" x14ac:dyDescent="0.3">
      <c r="A10" t="s">
        <v>1366</v>
      </c>
      <c r="B10" t="s">
        <v>1367</v>
      </c>
      <c r="C10">
        <v>118</v>
      </c>
      <c r="D10" t="s">
        <v>15</v>
      </c>
      <c r="E10" s="1">
        <v>44750</v>
      </c>
      <c r="G10">
        <v>429000</v>
      </c>
      <c r="I10">
        <v>8479</v>
      </c>
      <c r="J10">
        <v>57</v>
      </c>
      <c r="K10">
        <v>63</v>
      </c>
      <c r="N10" s="5" t="s">
        <v>322</v>
      </c>
      <c r="O10" t="s">
        <v>323</v>
      </c>
      <c r="P10">
        <v>130</v>
      </c>
      <c r="Q10" t="s">
        <v>15</v>
      </c>
      <c r="R10" s="1">
        <v>44708</v>
      </c>
      <c r="S10">
        <v>8.1999999999999993</v>
      </c>
      <c r="T10">
        <v>764000</v>
      </c>
      <c r="U10">
        <v>8.1519999999999992</v>
      </c>
      <c r="V10" s="6">
        <v>10763</v>
      </c>
    </row>
    <row r="11" spans="1:25" x14ac:dyDescent="0.3">
      <c r="A11" s="25" t="s">
        <v>1020</v>
      </c>
      <c r="B11" s="25" t="s">
        <v>1021</v>
      </c>
      <c r="C11" s="25">
        <v>128</v>
      </c>
      <c r="D11" s="25" t="s">
        <v>28</v>
      </c>
      <c r="E11" s="26">
        <v>45499</v>
      </c>
      <c r="F11" s="25">
        <v>7.6</v>
      </c>
      <c r="G11" s="25">
        <v>482000</v>
      </c>
      <c r="H11" s="25">
        <v>7.5570000000000004</v>
      </c>
      <c r="I11" s="25">
        <v>8466</v>
      </c>
      <c r="J11">
        <v>56</v>
      </c>
      <c r="K11">
        <v>78</v>
      </c>
      <c r="N11" s="5" t="s">
        <v>914</v>
      </c>
      <c r="O11" t="s">
        <v>915</v>
      </c>
      <c r="P11">
        <v>150</v>
      </c>
      <c r="Q11" t="s">
        <v>15</v>
      </c>
      <c r="R11" s="1">
        <v>45051</v>
      </c>
      <c r="S11">
        <v>7.9</v>
      </c>
      <c r="T11">
        <v>422000</v>
      </c>
      <c r="U11">
        <v>7.9240000000000004</v>
      </c>
      <c r="V11" s="6">
        <v>8180</v>
      </c>
    </row>
    <row r="12" spans="1:25" x14ac:dyDescent="0.3">
      <c r="A12" s="25" t="s">
        <v>356</v>
      </c>
      <c r="B12" s="25" t="s">
        <v>357</v>
      </c>
      <c r="C12" s="25">
        <v>140</v>
      </c>
      <c r="D12" s="25" t="s">
        <v>12</v>
      </c>
      <c r="E12" s="26">
        <v>45079</v>
      </c>
      <c r="F12" s="25">
        <v>8.5</v>
      </c>
      <c r="G12" s="25">
        <v>444000</v>
      </c>
      <c r="H12" s="25">
        <v>8.3330000000000002</v>
      </c>
      <c r="I12" s="25">
        <v>8445</v>
      </c>
      <c r="J12">
        <v>86</v>
      </c>
      <c r="K12">
        <v>95</v>
      </c>
      <c r="N12" s="5" t="s">
        <v>31</v>
      </c>
      <c r="O12" t="s">
        <v>32</v>
      </c>
      <c r="P12">
        <v>102</v>
      </c>
      <c r="Q12" t="s">
        <v>12</v>
      </c>
      <c r="R12" s="1">
        <v>44916</v>
      </c>
      <c r="S12">
        <v>7.8</v>
      </c>
      <c r="T12">
        <v>201000</v>
      </c>
      <c r="U12">
        <v>8.2010000000000005</v>
      </c>
      <c r="V12" s="6">
        <v>8729</v>
      </c>
    </row>
    <row r="13" spans="1:25" x14ac:dyDescent="0.3">
      <c r="A13" s="25" t="s">
        <v>914</v>
      </c>
      <c r="B13" s="25" t="s">
        <v>915</v>
      </c>
      <c r="C13" s="25">
        <v>150</v>
      </c>
      <c r="D13" s="25" t="s">
        <v>15</v>
      </c>
      <c r="E13" s="26">
        <v>45051</v>
      </c>
      <c r="F13" s="25">
        <v>7.9</v>
      </c>
      <c r="G13" s="25">
        <v>422000</v>
      </c>
      <c r="H13" s="25">
        <v>7.9240000000000004</v>
      </c>
      <c r="I13" s="25">
        <v>8180</v>
      </c>
      <c r="J13">
        <v>64</v>
      </c>
      <c r="K13">
        <v>82</v>
      </c>
      <c r="N13" s="5" t="s">
        <v>598</v>
      </c>
      <c r="O13" t="s">
        <v>599</v>
      </c>
      <c r="P13">
        <v>144</v>
      </c>
      <c r="Q13" t="s">
        <v>28</v>
      </c>
      <c r="R13" s="1">
        <v>45295</v>
      </c>
      <c r="S13">
        <v>7.8</v>
      </c>
      <c r="T13">
        <v>160000</v>
      </c>
      <c r="U13">
        <v>7.976</v>
      </c>
      <c r="V13" s="6">
        <v>3461</v>
      </c>
    </row>
    <row r="14" spans="1:25" ht="15" thickBot="1" x14ac:dyDescent="0.35">
      <c r="A14" s="25" t="s">
        <v>492</v>
      </c>
      <c r="B14" s="25" t="s">
        <v>493</v>
      </c>
      <c r="C14" s="25">
        <v>139</v>
      </c>
      <c r="D14" s="25" t="s">
        <v>28</v>
      </c>
      <c r="E14" s="26">
        <v>44659</v>
      </c>
      <c r="F14" s="25">
        <v>7.8</v>
      </c>
      <c r="G14" s="25">
        <v>576000</v>
      </c>
      <c r="H14" s="25">
        <v>7.72</v>
      </c>
      <c r="I14" s="25">
        <v>7834</v>
      </c>
      <c r="J14">
        <v>81</v>
      </c>
      <c r="K14">
        <v>93</v>
      </c>
      <c r="N14" s="5" t="s">
        <v>492</v>
      </c>
      <c r="O14" t="s">
        <v>493</v>
      </c>
      <c r="P14">
        <v>139</v>
      </c>
      <c r="Q14" t="s">
        <v>28</v>
      </c>
      <c r="R14" s="1">
        <v>44659</v>
      </c>
      <c r="S14">
        <v>7.8</v>
      </c>
      <c r="T14">
        <v>576000</v>
      </c>
      <c r="U14">
        <v>7.72</v>
      </c>
      <c r="V14" s="6">
        <v>7834</v>
      </c>
    </row>
    <row r="15" spans="1:25" x14ac:dyDescent="0.3">
      <c r="A15" s="25" t="s">
        <v>414</v>
      </c>
      <c r="B15" s="25" t="s">
        <v>415</v>
      </c>
      <c r="C15" s="25">
        <v>169</v>
      </c>
      <c r="D15" s="25" t="s">
        <v>28</v>
      </c>
      <c r="E15" s="26">
        <v>45009</v>
      </c>
      <c r="F15" s="25">
        <v>7.6</v>
      </c>
      <c r="G15" s="25">
        <v>372000</v>
      </c>
      <c r="H15" s="25">
        <v>7.7060000000000004</v>
      </c>
      <c r="I15" s="25">
        <v>7825</v>
      </c>
      <c r="J15">
        <v>78</v>
      </c>
      <c r="K15">
        <v>94</v>
      </c>
      <c r="N15" s="5" t="s">
        <v>610</v>
      </c>
      <c r="O15" t="s">
        <v>611</v>
      </c>
      <c r="P15">
        <v>148</v>
      </c>
      <c r="Q15" t="s">
        <v>28</v>
      </c>
      <c r="R15" s="1">
        <v>44862</v>
      </c>
      <c r="S15">
        <v>7.8</v>
      </c>
      <c r="T15">
        <v>271000</v>
      </c>
      <c r="U15">
        <v>7.7169999999999996</v>
      </c>
      <c r="V15" s="6">
        <v>4603</v>
      </c>
      <c r="X15" s="21" t="s">
        <v>2037</v>
      </c>
      <c r="Y15" s="23" t="s">
        <v>2061</v>
      </c>
    </row>
    <row r="16" spans="1:25" x14ac:dyDescent="0.3">
      <c r="A16" s="25" t="s">
        <v>511</v>
      </c>
      <c r="B16" s="25" t="s">
        <v>512</v>
      </c>
      <c r="C16" s="25">
        <v>166</v>
      </c>
      <c r="D16" s="25" t="s">
        <v>15</v>
      </c>
      <c r="E16" s="26">
        <v>45352</v>
      </c>
      <c r="F16" s="25">
        <v>8.5</v>
      </c>
      <c r="G16" s="25">
        <v>615000</v>
      </c>
      <c r="H16" s="25">
        <v>8.1289999999999996</v>
      </c>
      <c r="I16" s="25">
        <v>7787</v>
      </c>
      <c r="J16">
        <v>79</v>
      </c>
      <c r="K16">
        <v>92</v>
      </c>
      <c r="N16" s="5" t="s">
        <v>820</v>
      </c>
      <c r="O16" t="s">
        <v>821</v>
      </c>
      <c r="P16">
        <v>176</v>
      </c>
      <c r="Q16" t="s">
        <v>15</v>
      </c>
      <c r="R16" s="1">
        <v>44624</v>
      </c>
      <c r="S16">
        <v>7.8</v>
      </c>
      <c r="T16">
        <v>864000</v>
      </c>
      <c r="U16">
        <v>7.6580000000000004</v>
      </c>
      <c r="V16" s="6">
        <v>11781</v>
      </c>
      <c r="X16" s="5" t="s">
        <v>28</v>
      </c>
      <c r="Y16" s="6">
        <f>COUNTIF(Q:Q, "R")</f>
        <v>17</v>
      </c>
    </row>
    <row r="17" spans="1:25" x14ac:dyDescent="0.3">
      <c r="A17" s="29" t="s">
        <v>418</v>
      </c>
      <c r="B17" s="29" t="s">
        <v>419</v>
      </c>
      <c r="C17" s="29">
        <v>100</v>
      </c>
      <c r="D17" s="29" t="s">
        <v>28</v>
      </c>
      <c r="E17" s="30">
        <v>44778</v>
      </c>
      <c r="F17" s="29"/>
      <c r="G17" s="29">
        <v>246000</v>
      </c>
      <c r="H17" s="29">
        <v>7.6619999999999999</v>
      </c>
      <c r="I17" s="29">
        <v>7618</v>
      </c>
      <c r="J17">
        <v>71</v>
      </c>
      <c r="K17">
        <v>94</v>
      </c>
      <c r="N17" s="5" t="s">
        <v>513</v>
      </c>
      <c r="O17" t="s">
        <v>514</v>
      </c>
      <c r="P17">
        <v>141</v>
      </c>
      <c r="Q17" t="s">
        <v>28</v>
      </c>
      <c r="R17" s="1">
        <v>45282</v>
      </c>
      <c r="S17">
        <v>7.8</v>
      </c>
      <c r="T17">
        <v>336000</v>
      </c>
      <c r="U17">
        <v>7.6479999999999997</v>
      </c>
      <c r="V17" s="6">
        <v>5416</v>
      </c>
      <c r="X17" s="5" t="s">
        <v>15</v>
      </c>
      <c r="Y17" s="6">
        <f>COUNTIF(Q:Q, "PG-13")</f>
        <v>11</v>
      </c>
    </row>
    <row r="18" spans="1:25" ht="15" thickBot="1" x14ac:dyDescent="0.35">
      <c r="A18" t="s">
        <v>1526</v>
      </c>
      <c r="B18" t="s">
        <v>1527</v>
      </c>
      <c r="C18">
        <v>127</v>
      </c>
      <c r="D18" t="s">
        <v>28</v>
      </c>
      <c r="E18" s="1">
        <v>44778</v>
      </c>
      <c r="G18">
        <v>487000</v>
      </c>
      <c r="I18">
        <v>7407</v>
      </c>
      <c r="J18">
        <v>49</v>
      </c>
      <c r="K18">
        <v>52</v>
      </c>
      <c r="N18" s="5" t="s">
        <v>190</v>
      </c>
      <c r="O18" t="s">
        <v>191</v>
      </c>
      <c r="P18">
        <v>124</v>
      </c>
      <c r="Q18" t="s">
        <v>15</v>
      </c>
      <c r="R18" s="1">
        <v>45261</v>
      </c>
      <c r="S18">
        <v>7.7</v>
      </c>
      <c r="T18">
        <v>168000</v>
      </c>
      <c r="U18">
        <v>7.5730000000000004</v>
      </c>
      <c r="V18" s="6">
        <v>3082</v>
      </c>
      <c r="X18" s="7" t="s">
        <v>12</v>
      </c>
      <c r="Y18" s="9">
        <f>COUNTIF(Q:Q, "PG")</f>
        <v>9</v>
      </c>
    </row>
    <row r="19" spans="1:25" x14ac:dyDescent="0.3">
      <c r="A19" t="s">
        <v>848</v>
      </c>
      <c r="B19" t="s">
        <v>849</v>
      </c>
      <c r="C19">
        <v>161</v>
      </c>
      <c r="D19" t="s">
        <v>15</v>
      </c>
      <c r="E19" s="1">
        <v>44876</v>
      </c>
      <c r="G19">
        <v>327000</v>
      </c>
      <c r="I19">
        <v>7385</v>
      </c>
      <c r="J19">
        <v>67</v>
      </c>
      <c r="K19">
        <v>84</v>
      </c>
      <c r="N19" s="5" t="s">
        <v>1350</v>
      </c>
      <c r="O19" t="s">
        <v>1351</v>
      </c>
      <c r="P19">
        <v>117</v>
      </c>
      <c r="Q19" t="s">
        <v>28</v>
      </c>
      <c r="R19" s="1">
        <v>44916</v>
      </c>
      <c r="S19">
        <v>7.6</v>
      </c>
      <c r="T19">
        <v>243000</v>
      </c>
      <c r="U19">
        <v>7.7750000000000004</v>
      </c>
      <c r="V19" s="6">
        <v>4615</v>
      </c>
    </row>
    <row r="20" spans="1:25" x14ac:dyDescent="0.3">
      <c r="A20" t="s">
        <v>1861</v>
      </c>
      <c r="B20" t="s">
        <v>1862</v>
      </c>
      <c r="C20">
        <v>147</v>
      </c>
      <c r="D20" t="s">
        <v>15</v>
      </c>
      <c r="E20" s="1">
        <v>44722</v>
      </c>
      <c r="G20">
        <v>221000</v>
      </c>
      <c r="I20">
        <v>6975</v>
      </c>
      <c r="J20">
        <v>38</v>
      </c>
      <c r="K20">
        <v>29</v>
      </c>
      <c r="N20" s="5" t="s">
        <v>414</v>
      </c>
      <c r="O20" t="s">
        <v>415</v>
      </c>
      <c r="P20">
        <v>169</v>
      </c>
      <c r="Q20" t="s">
        <v>28</v>
      </c>
      <c r="R20" s="1">
        <v>45009</v>
      </c>
      <c r="S20">
        <v>7.6</v>
      </c>
      <c r="T20">
        <v>372000</v>
      </c>
      <c r="U20">
        <v>7.7060000000000004</v>
      </c>
      <c r="V20" s="6">
        <v>7825</v>
      </c>
    </row>
    <row r="21" spans="1:25" x14ac:dyDescent="0.3">
      <c r="A21" t="s">
        <v>1730</v>
      </c>
      <c r="B21" t="s">
        <v>1731</v>
      </c>
      <c r="C21">
        <v>125</v>
      </c>
      <c r="D21" t="s">
        <v>15</v>
      </c>
      <c r="E21" s="1">
        <v>44855</v>
      </c>
      <c r="G21">
        <v>290000</v>
      </c>
      <c r="I21">
        <v>6952</v>
      </c>
      <c r="J21">
        <v>41</v>
      </c>
      <c r="K21">
        <v>39</v>
      </c>
      <c r="N21" s="5" t="s">
        <v>1020</v>
      </c>
      <c r="O21" t="s">
        <v>1021</v>
      </c>
      <c r="P21">
        <v>128</v>
      </c>
      <c r="Q21" t="s">
        <v>28</v>
      </c>
      <c r="R21" s="1">
        <v>45499</v>
      </c>
      <c r="S21">
        <v>7.6</v>
      </c>
      <c r="T21">
        <v>482000</v>
      </c>
      <c r="U21">
        <v>7.5570000000000004</v>
      </c>
      <c r="V21" s="6">
        <v>8466</v>
      </c>
    </row>
    <row r="22" spans="1:25" x14ac:dyDescent="0.3">
      <c r="A22" t="s">
        <v>564</v>
      </c>
      <c r="B22" t="s">
        <v>565</v>
      </c>
      <c r="C22">
        <v>139</v>
      </c>
      <c r="D22" t="s">
        <v>15</v>
      </c>
      <c r="E22" s="1">
        <v>44918</v>
      </c>
      <c r="G22">
        <v>473000</v>
      </c>
      <c r="I22">
        <v>6718</v>
      </c>
      <c r="J22">
        <v>81</v>
      </c>
      <c r="K22">
        <v>91</v>
      </c>
      <c r="N22" s="5" t="s">
        <v>286</v>
      </c>
      <c r="O22" t="s">
        <v>287</v>
      </c>
      <c r="P22">
        <v>151</v>
      </c>
      <c r="Q22" t="s">
        <v>28</v>
      </c>
      <c r="R22" s="1">
        <v>45373</v>
      </c>
      <c r="S22">
        <v>7.6</v>
      </c>
      <c r="T22">
        <v>172000</v>
      </c>
      <c r="U22">
        <v>7.524</v>
      </c>
      <c r="V22" s="6">
        <v>3230</v>
      </c>
    </row>
    <row r="23" spans="1:25" x14ac:dyDescent="0.3">
      <c r="A23" t="s">
        <v>128</v>
      </c>
      <c r="B23" t="s">
        <v>129</v>
      </c>
      <c r="C23">
        <v>116</v>
      </c>
      <c r="D23" t="s">
        <v>15</v>
      </c>
      <c r="E23" s="1">
        <v>44610</v>
      </c>
      <c r="G23">
        <v>280000</v>
      </c>
      <c r="I23">
        <v>6703</v>
      </c>
      <c r="J23">
        <v>45</v>
      </c>
      <c r="K23">
        <v>41</v>
      </c>
      <c r="N23" s="5" t="s">
        <v>302</v>
      </c>
      <c r="O23" t="s">
        <v>303</v>
      </c>
      <c r="P23">
        <v>163</v>
      </c>
      <c r="Q23" t="s">
        <v>15</v>
      </c>
      <c r="R23" s="1">
        <v>45119</v>
      </c>
      <c r="S23">
        <v>7.6</v>
      </c>
      <c r="T23">
        <v>282000</v>
      </c>
      <c r="U23">
        <v>7.5</v>
      </c>
      <c r="V23" s="6">
        <v>5040</v>
      </c>
    </row>
    <row r="24" spans="1:25" x14ac:dyDescent="0.3">
      <c r="A24" s="25" t="s">
        <v>543</v>
      </c>
      <c r="B24" s="25" t="s">
        <v>544</v>
      </c>
      <c r="C24" s="25">
        <v>96</v>
      </c>
      <c r="D24" s="25" t="s">
        <v>12</v>
      </c>
      <c r="E24" s="26">
        <v>45457</v>
      </c>
      <c r="F24" s="25">
        <v>7.5</v>
      </c>
      <c r="G24" s="25">
        <v>212000</v>
      </c>
      <c r="H24" s="25">
        <v>7.5</v>
      </c>
      <c r="I24" s="25">
        <v>6589</v>
      </c>
      <c r="J24">
        <v>73</v>
      </c>
      <c r="K24">
        <v>91</v>
      </c>
      <c r="N24" s="5" t="s">
        <v>1246</v>
      </c>
      <c r="O24" t="s">
        <v>1247</v>
      </c>
      <c r="P24">
        <v>126</v>
      </c>
      <c r="Q24" t="s">
        <v>15</v>
      </c>
      <c r="R24" s="1">
        <v>44939</v>
      </c>
      <c r="S24">
        <v>7.5</v>
      </c>
      <c r="T24">
        <v>190000</v>
      </c>
      <c r="U24">
        <v>7.7510000000000003</v>
      </c>
      <c r="V24" s="6">
        <v>3532</v>
      </c>
    </row>
    <row r="25" spans="1:25" x14ac:dyDescent="0.3">
      <c r="A25" t="s">
        <v>1474</v>
      </c>
      <c r="B25" t="s">
        <v>1475</v>
      </c>
      <c r="C25">
        <v>141</v>
      </c>
      <c r="D25" t="s">
        <v>15</v>
      </c>
      <c r="E25" s="1">
        <v>45065</v>
      </c>
      <c r="I25">
        <v>6258</v>
      </c>
      <c r="J25">
        <v>56</v>
      </c>
      <c r="K25">
        <v>56</v>
      </c>
      <c r="N25" s="5" t="s">
        <v>916</v>
      </c>
      <c r="O25" t="s">
        <v>917</v>
      </c>
      <c r="P25">
        <v>123</v>
      </c>
      <c r="Q25" t="s">
        <v>28</v>
      </c>
      <c r="R25" s="1">
        <v>45037</v>
      </c>
      <c r="S25">
        <v>7.5</v>
      </c>
      <c r="T25">
        <v>187000</v>
      </c>
      <c r="U25">
        <v>7.7160000000000002</v>
      </c>
      <c r="V25" s="6">
        <v>3117</v>
      </c>
    </row>
    <row r="26" spans="1:25" x14ac:dyDescent="0.3">
      <c r="A26" t="s">
        <v>683</v>
      </c>
      <c r="B26" t="s">
        <v>684</v>
      </c>
      <c r="C26">
        <v>107</v>
      </c>
      <c r="D26" t="s">
        <v>28</v>
      </c>
      <c r="E26" s="1">
        <v>44883</v>
      </c>
      <c r="G26">
        <v>448000</v>
      </c>
      <c r="I26">
        <v>6062</v>
      </c>
      <c r="J26">
        <v>71</v>
      </c>
      <c r="K26">
        <v>88</v>
      </c>
      <c r="N26" s="5" t="s">
        <v>1094</v>
      </c>
      <c r="O26" t="s">
        <v>1095</v>
      </c>
      <c r="P26">
        <v>192</v>
      </c>
      <c r="Q26" t="s">
        <v>15</v>
      </c>
      <c r="R26" s="1">
        <v>44911</v>
      </c>
      <c r="S26">
        <v>7.5</v>
      </c>
      <c r="T26">
        <v>530000</v>
      </c>
      <c r="U26">
        <v>7.593</v>
      </c>
      <c r="V26" s="6">
        <v>13962</v>
      </c>
    </row>
    <row r="27" spans="1:25" ht="15" thickBot="1" x14ac:dyDescent="0.35">
      <c r="A27" s="25" t="s">
        <v>228</v>
      </c>
      <c r="B27" s="25" t="s">
        <v>229</v>
      </c>
      <c r="C27" s="25">
        <v>102</v>
      </c>
      <c r="D27" s="25" t="s">
        <v>12</v>
      </c>
      <c r="E27" s="26">
        <v>45562</v>
      </c>
      <c r="F27" s="25">
        <v>8.1999999999999993</v>
      </c>
      <c r="G27" s="25">
        <v>154000</v>
      </c>
      <c r="H27" s="25">
        <v>8.3070000000000004</v>
      </c>
      <c r="I27" s="25">
        <v>5900</v>
      </c>
      <c r="J27">
        <v>85</v>
      </c>
      <c r="K27">
        <v>97</v>
      </c>
      <c r="N27" s="7" t="s">
        <v>543</v>
      </c>
      <c r="O27" s="8" t="s">
        <v>544</v>
      </c>
      <c r="P27" s="8">
        <v>96</v>
      </c>
      <c r="Q27" s="8" t="s">
        <v>12</v>
      </c>
      <c r="R27" s="20">
        <v>45457</v>
      </c>
      <c r="S27" s="8">
        <v>7.5</v>
      </c>
      <c r="T27" s="8">
        <v>212000</v>
      </c>
      <c r="U27" s="8">
        <v>7.5</v>
      </c>
      <c r="V27" s="9">
        <v>6589</v>
      </c>
    </row>
    <row r="28" spans="1:25" ht="15" thickBot="1" x14ac:dyDescent="0.35">
      <c r="A28" t="s">
        <v>624</v>
      </c>
      <c r="B28" t="s">
        <v>625</v>
      </c>
      <c r="C28">
        <v>141</v>
      </c>
      <c r="D28" t="s">
        <v>28</v>
      </c>
      <c r="E28" s="1">
        <v>45555</v>
      </c>
      <c r="G28">
        <v>284000</v>
      </c>
      <c r="I28">
        <v>5872</v>
      </c>
      <c r="J28">
        <v>78</v>
      </c>
      <c r="K28">
        <v>89</v>
      </c>
    </row>
    <row r="29" spans="1:25" x14ac:dyDescent="0.3">
      <c r="A29" t="s">
        <v>1264</v>
      </c>
      <c r="B29" t="s">
        <v>1265</v>
      </c>
      <c r="C29">
        <v>122</v>
      </c>
      <c r="D29" t="s">
        <v>12</v>
      </c>
      <c r="E29" s="1">
        <v>44659</v>
      </c>
      <c r="I29">
        <v>5818</v>
      </c>
      <c r="J29">
        <v>47</v>
      </c>
      <c r="K29">
        <v>69</v>
      </c>
      <c r="N29" s="21" t="s">
        <v>2022</v>
      </c>
      <c r="O29" s="22"/>
      <c r="P29" s="22"/>
      <c r="Q29" s="22"/>
      <c r="R29" s="22"/>
      <c r="S29" s="22" t="s">
        <v>2037</v>
      </c>
      <c r="T29" s="23" t="s">
        <v>2038</v>
      </c>
    </row>
    <row r="30" spans="1:25" x14ac:dyDescent="0.3">
      <c r="A30" s="29" t="s">
        <v>964</v>
      </c>
      <c r="B30" s="29" t="s">
        <v>965</v>
      </c>
      <c r="C30" s="29">
        <v>103</v>
      </c>
      <c r="D30" s="29" t="s">
        <v>28</v>
      </c>
      <c r="E30" s="30">
        <v>44736</v>
      </c>
      <c r="F30" s="29"/>
      <c r="G30" s="29">
        <v>224000</v>
      </c>
      <c r="H30" s="29">
        <v>7.5279999999999996</v>
      </c>
      <c r="I30" s="29">
        <v>5758</v>
      </c>
      <c r="J30">
        <v>65</v>
      </c>
      <c r="K30">
        <v>81</v>
      </c>
      <c r="N30" s="5" t="s">
        <v>588</v>
      </c>
      <c r="O30" t="s">
        <v>589</v>
      </c>
      <c r="P30">
        <v>148</v>
      </c>
      <c r="Q30" t="s">
        <v>28</v>
      </c>
      <c r="R30" s="1">
        <v>45436</v>
      </c>
      <c r="S30">
        <v>7.5</v>
      </c>
      <c r="T30" s="6">
        <v>281000</v>
      </c>
    </row>
    <row r="31" spans="1:25" x14ac:dyDescent="0.3">
      <c r="A31" t="s">
        <v>1615</v>
      </c>
      <c r="B31" t="s">
        <v>1616</v>
      </c>
      <c r="C31">
        <v>124</v>
      </c>
      <c r="D31" t="s">
        <v>15</v>
      </c>
      <c r="E31" s="1">
        <v>44974</v>
      </c>
      <c r="G31">
        <v>248000</v>
      </c>
      <c r="I31">
        <v>5747</v>
      </c>
      <c r="J31">
        <v>48</v>
      </c>
      <c r="K31">
        <v>46</v>
      </c>
      <c r="N31" s="5" t="s">
        <v>464</v>
      </c>
      <c r="O31" t="s">
        <v>465</v>
      </c>
      <c r="P31">
        <v>206</v>
      </c>
      <c r="Q31" t="s">
        <v>28</v>
      </c>
      <c r="R31" s="1">
        <v>45219</v>
      </c>
      <c r="S31">
        <v>7.6</v>
      </c>
      <c r="T31" s="6">
        <v>279000</v>
      </c>
    </row>
    <row r="32" spans="1:25" x14ac:dyDescent="0.3">
      <c r="A32" t="s">
        <v>372</v>
      </c>
      <c r="B32" t="s">
        <v>373</v>
      </c>
      <c r="C32">
        <v>100</v>
      </c>
      <c r="D32" t="s">
        <v>12</v>
      </c>
      <c r="E32" s="1">
        <v>44631</v>
      </c>
      <c r="G32">
        <v>164000</v>
      </c>
      <c r="I32">
        <v>5741</v>
      </c>
      <c r="J32">
        <v>83</v>
      </c>
      <c r="K32">
        <v>95</v>
      </c>
      <c r="N32" s="5" t="s">
        <v>310</v>
      </c>
      <c r="O32" t="s">
        <v>311</v>
      </c>
      <c r="P32">
        <v>114</v>
      </c>
      <c r="Q32" t="s">
        <v>28</v>
      </c>
      <c r="R32" s="1">
        <v>44869</v>
      </c>
      <c r="S32">
        <v>7.7</v>
      </c>
      <c r="T32" s="6">
        <v>276000</v>
      </c>
    </row>
    <row r="33" spans="1:20" x14ac:dyDescent="0.3">
      <c r="A33" s="25" t="s">
        <v>513</v>
      </c>
      <c r="B33" s="25" t="s">
        <v>514</v>
      </c>
      <c r="C33" s="25">
        <v>141</v>
      </c>
      <c r="D33" s="25" t="s">
        <v>28</v>
      </c>
      <c r="E33" s="26">
        <v>45282</v>
      </c>
      <c r="F33" s="25">
        <v>7.8</v>
      </c>
      <c r="G33" s="25">
        <v>336000</v>
      </c>
      <c r="H33" s="25">
        <v>7.6479999999999997</v>
      </c>
      <c r="I33" s="25">
        <v>5416</v>
      </c>
      <c r="J33">
        <v>88</v>
      </c>
      <c r="K33">
        <v>92</v>
      </c>
      <c r="N33" s="5" t="s">
        <v>246</v>
      </c>
      <c r="O33" t="s">
        <v>247</v>
      </c>
      <c r="P33">
        <v>133</v>
      </c>
      <c r="Q33" t="s">
        <v>28</v>
      </c>
      <c r="R33" s="1">
        <v>45240</v>
      </c>
      <c r="S33">
        <v>7.9</v>
      </c>
      <c r="T33" s="6">
        <v>197000</v>
      </c>
    </row>
    <row r="34" spans="1:20" x14ac:dyDescent="0.3">
      <c r="A34" s="29" t="s">
        <v>1162</v>
      </c>
      <c r="B34" s="29" t="s">
        <v>1163</v>
      </c>
      <c r="C34" s="29">
        <v>101</v>
      </c>
      <c r="D34" s="29" t="s">
        <v>12</v>
      </c>
      <c r="E34" s="30">
        <v>45093</v>
      </c>
      <c r="F34" s="29"/>
      <c r="G34" s="29">
        <v>148000</v>
      </c>
      <c r="H34" s="29">
        <v>7.5780000000000003</v>
      </c>
      <c r="I34" s="29">
        <v>5237</v>
      </c>
      <c r="J34">
        <v>58</v>
      </c>
      <c r="K34">
        <v>73</v>
      </c>
      <c r="N34" s="5" t="s">
        <v>324</v>
      </c>
      <c r="O34" t="s">
        <v>325</v>
      </c>
      <c r="P34">
        <v>187</v>
      </c>
      <c r="Q34" t="s">
        <v>63</v>
      </c>
      <c r="R34" s="1">
        <v>44645</v>
      </c>
      <c r="S34">
        <v>7.8</v>
      </c>
      <c r="T34" s="6">
        <v>177000</v>
      </c>
    </row>
    <row r="35" spans="1:20" x14ac:dyDescent="0.3">
      <c r="A35" t="s">
        <v>1540</v>
      </c>
      <c r="B35" t="s">
        <v>1541</v>
      </c>
      <c r="C35">
        <v>127</v>
      </c>
      <c r="D35" t="s">
        <v>15</v>
      </c>
      <c r="E35" s="1">
        <v>45086</v>
      </c>
      <c r="I35">
        <v>5222</v>
      </c>
      <c r="J35">
        <v>42</v>
      </c>
      <c r="K35">
        <v>51</v>
      </c>
      <c r="N35" s="5" t="s">
        <v>448</v>
      </c>
      <c r="O35" t="s">
        <v>449</v>
      </c>
      <c r="P35">
        <v>139</v>
      </c>
      <c r="Q35" t="s">
        <v>28</v>
      </c>
      <c r="R35" s="1">
        <v>45604</v>
      </c>
      <c r="S35">
        <v>7.6</v>
      </c>
      <c r="T35" s="6">
        <v>162000</v>
      </c>
    </row>
    <row r="36" spans="1:20" x14ac:dyDescent="0.3">
      <c r="A36" t="s">
        <v>1619</v>
      </c>
      <c r="B36" t="s">
        <v>1620</v>
      </c>
      <c r="C36">
        <v>142</v>
      </c>
      <c r="D36" t="s">
        <v>15</v>
      </c>
      <c r="E36" s="1">
        <v>44666</v>
      </c>
      <c r="G36">
        <v>183000</v>
      </c>
      <c r="I36">
        <v>5046</v>
      </c>
      <c r="J36">
        <v>47</v>
      </c>
      <c r="K36">
        <v>46</v>
      </c>
      <c r="N36" s="5" t="s">
        <v>354</v>
      </c>
      <c r="O36" t="s">
        <v>355</v>
      </c>
      <c r="P36">
        <v>105</v>
      </c>
      <c r="Q36" t="s">
        <v>15</v>
      </c>
      <c r="R36" s="1">
        <v>45100</v>
      </c>
      <c r="S36">
        <v>7.8</v>
      </c>
      <c r="T36" s="6">
        <v>149000</v>
      </c>
    </row>
    <row r="37" spans="1:20" ht="15" thickBot="1" x14ac:dyDescent="0.35">
      <c r="A37" s="25" t="s">
        <v>302</v>
      </c>
      <c r="B37" s="25" t="s">
        <v>303</v>
      </c>
      <c r="C37" s="25">
        <v>163</v>
      </c>
      <c r="D37" s="25" t="s">
        <v>15</v>
      </c>
      <c r="E37" s="26">
        <v>45119</v>
      </c>
      <c r="F37" s="25">
        <v>7.6</v>
      </c>
      <c r="G37" s="25">
        <v>282000</v>
      </c>
      <c r="H37" s="25">
        <v>7.5</v>
      </c>
      <c r="I37" s="25">
        <v>5040</v>
      </c>
      <c r="J37">
        <v>81</v>
      </c>
      <c r="K37">
        <v>96</v>
      </c>
      <c r="N37" s="7" t="s">
        <v>659</v>
      </c>
      <c r="O37" s="8" t="s">
        <v>660</v>
      </c>
      <c r="P37" s="8">
        <v>160</v>
      </c>
      <c r="Q37" s="8" t="s">
        <v>12</v>
      </c>
      <c r="R37" s="20">
        <v>45618</v>
      </c>
      <c r="S37" s="8">
        <v>7.5</v>
      </c>
      <c r="T37" s="9">
        <v>147000</v>
      </c>
    </row>
    <row r="38" spans="1:20" ht="15" thickBot="1" x14ac:dyDescent="0.35">
      <c r="A38" t="s">
        <v>612</v>
      </c>
      <c r="B38" t="s">
        <v>613</v>
      </c>
      <c r="C38">
        <v>137</v>
      </c>
      <c r="D38" t="s">
        <v>28</v>
      </c>
      <c r="E38" s="1">
        <v>44673</v>
      </c>
      <c r="G38">
        <v>277000</v>
      </c>
      <c r="I38">
        <v>4967</v>
      </c>
      <c r="J38">
        <v>82</v>
      </c>
      <c r="K38">
        <v>90</v>
      </c>
    </row>
    <row r="39" spans="1:20" x14ac:dyDescent="0.3">
      <c r="A39" t="s">
        <v>1797</v>
      </c>
      <c r="B39" t="s">
        <v>1798</v>
      </c>
      <c r="C39">
        <v>109</v>
      </c>
      <c r="D39" t="s">
        <v>15</v>
      </c>
      <c r="E39" s="1">
        <v>45226</v>
      </c>
      <c r="I39">
        <v>4959</v>
      </c>
      <c r="J39">
        <v>33</v>
      </c>
      <c r="K39">
        <v>33</v>
      </c>
      <c r="N39" s="21" t="s">
        <v>2024</v>
      </c>
      <c r="O39" s="22"/>
      <c r="P39" s="22"/>
      <c r="Q39" s="22"/>
      <c r="R39" s="22"/>
      <c r="S39" s="22" t="s">
        <v>2037</v>
      </c>
      <c r="T39" s="23" t="s">
        <v>2038</v>
      </c>
    </row>
    <row r="40" spans="1:20" x14ac:dyDescent="0.3">
      <c r="A40" t="s">
        <v>1358</v>
      </c>
      <c r="B40" t="s">
        <v>1359</v>
      </c>
      <c r="C40">
        <v>144</v>
      </c>
      <c r="D40" t="s">
        <v>15</v>
      </c>
      <c r="E40" s="1">
        <v>45093</v>
      </c>
      <c r="G40">
        <v>231000</v>
      </c>
      <c r="I40">
        <v>4925</v>
      </c>
      <c r="J40">
        <v>55</v>
      </c>
      <c r="K40">
        <v>63</v>
      </c>
      <c r="N40" s="5" t="s">
        <v>1422</v>
      </c>
      <c r="O40" t="s">
        <v>1423</v>
      </c>
      <c r="P40">
        <v>92</v>
      </c>
      <c r="Q40" t="s">
        <v>12</v>
      </c>
      <c r="R40" s="1">
        <v>45021</v>
      </c>
      <c r="S40">
        <v>7.6</v>
      </c>
      <c r="T40" s="6">
        <v>10483</v>
      </c>
    </row>
    <row r="41" spans="1:20" x14ac:dyDescent="0.3">
      <c r="A41" t="s">
        <v>1288</v>
      </c>
      <c r="B41" t="s">
        <v>1289</v>
      </c>
      <c r="C41">
        <v>106</v>
      </c>
      <c r="D41" t="s">
        <v>15</v>
      </c>
      <c r="E41" s="1">
        <v>44631</v>
      </c>
      <c r="G41">
        <v>245000</v>
      </c>
      <c r="I41">
        <v>4868</v>
      </c>
      <c r="J41">
        <v>55</v>
      </c>
      <c r="K41">
        <v>68</v>
      </c>
      <c r="N41" s="5" t="s">
        <v>418</v>
      </c>
      <c r="O41" t="s">
        <v>419</v>
      </c>
      <c r="P41">
        <v>100</v>
      </c>
      <c r="Q41" t="s">
        <v>28</v>
      </c>
      <c r="R41" s="1">
        <v>44778</v>
      </c>
      <c r="S41">
        <v>7.6619999999999999</v>
      </c>
      <c r="T41" s="6">
        <v>7618</v>
      </c>
    </row>
    <row r="42" spans="1:20" x14ac:dyDescent="0.3">
      <c r="A42" t="s">
        <v>877</v>
      </c>
      <c r="B42" t="s">
        <v>878</v>
      </c>
      <c r="C42">
        <v>130</v>
      </c>
      <c r="D42" t="s">
        <v>28</v>
      </c>
      <c r="E42" s="1">
        <v>44764</v>
      </c>
      <c r="G42">
        <v>296000</v>
      </c>
      <c r="I42">
        <v>4808</v>
      </c>
      <c r="J42">
        <v>77</v>
      </c>
      <c r="K42">
        <v>83</v>
      </c>
      <c r="N42" s="5" t="s">
        <v>964</v>
      </c>
      <c r="O42" t="s">
        <v>965</v>
      </c>
      <c r="P42">
        <v>103</v>
      </c>
      <c r="Q42" t="s">
        <v>28</v>
      </c>
      <c r="R42" s="1">
        <v>44736</v>
      </c>
      <c r="S42">
        <v>7.5279999999999996</v>
      </c>
      <c r="T42" s="6">
        <v>5758</v>
      </c>
    </row>
    <row r="43" spans="1:20" x14ac:dyDescent="0.3">
      <c r="A43" s="27" t="s">
        <v>588</v>
      </c>
      <c r="B43" s="27" t="s">
        <v>589</v>
      </c>
      <c r="C43" s="27">
        <v>148</v>
      </c>
      <c r="D43" s="27" t="s">
        <v>28</v>
      </c>
      <c r="E43" s="28">
        <v>45436</v>
      </c>
      <c r="F43" s="27">
        <v>7.5</v>
      </c>
      <c r="G43" s="27">
        <v>281000</v>
      </c>
      <c r="I43">
        <v>4776</v>
      </c>
      <c r="J43">
        <v>79</v>
      </c>
      <c r="K43">
        <v>90</v>
      </c>
      <c r="N43" s="5" t="s">
        <v>1162</v>
      </c>
      <c r="O43" t="s">
        <v>1163</v>
      </c>
      <c r="P43">
        <v>101</v>
      </c>
      <c r="Q43" t="s">
        <v>12</v>
      </c>
      <c r="R43" s="1">
        <v>45093</v>
      </c>
      <c r="S43">
        <v>7.5780000000000003</v>
      </c>
      <c r="T43" s="6">
        <v>5237</v>
      </c>
    </row>
    <row r="44" spans="1:20" x14ac:dyDescent="0.3">
      <c r="A44" t="s">
        <v>1982</v>
      </c>
      <c r="B44" t="s">
        <v>1983</v>
      </c>
      <c r="C44">
        <v>104</v>
      </c>
      <c r="D44" t="s">
        <v>15</v>
      </c>
      <c r="E44" s="1">
        <v>44652</v>
      </c>
      <c r="G44">
        <v>163000</v>
      </c>
      <c r="I44">
        <v>4764</v>
      </c>
      <c r="J44">
        <v>35</v>
      </c>
      <c r="K44">
        <v>15</v>
      </c>
      <c r="N44" s="5" t="s">
        <v>1370</v>
      </c>
      <c r="O44" t="s">
        <v>1371</v>
      </c>
      <c r="P44">
        <v>127</v>
      </c>
      <c r="Q44" t="s">
        <v>15</v>
      </c>
      <c r="R44" s="1">
        <v>45702</v>
      </c>
      <c r="S44">
        <v>7.6180000000000003</v>
      </c>
      <c r="T44" s="6">
        <v>3586</v>
      </c>
    </row>
    <row r="45" spans="1:20" x14ac:dyDescent="0.3">
      <c r="A45" t="s">
        <v>474</v>
      </c>
      <c r="B45" t="s">
        <v>475</v>
      </c>
      <c r="C45">
        <v>102</v>
      </c>
      <c r="D45" t="s">
        <v>15</v>
      </c>
      <c r="E45" s="1">
        <v>44932</v>
      </c>
      <c r="G45">
        <v>161000</v>
      </c>
      <c r="I45">
        <v>4749</v>
      </c>
      <c r="J45">
        <v>72</v>
      </c>
      <c r="K45">
        <v>93</v>
      </c>
      <c r="N45" s="5" t="s">
        <v>102</v>
      </c>
      <c r="O45" t="s">
        <v>103</v>
      </c>
      <c r="P45">
        <v>134</v>
      </c>
      <c r="Q45" t="s">
        <v>15</v>
      </c>
      <c r="R45" s="1">
        <v>45163</v>
      </c>
      <c r="S45">
        <v>7.7050000000000001</v>
      </c>
      <c r="T45" s="6">
        <v>3331</v>
      </c>
    </row>
    <row r="46" spans="1:20" x14ac:dyDescent="0.3">
      <c r="A46" s="25" t="s">
        <v>1350</v>
      </c>
      <c r="B46" s="25" t="s">
        <v>1351</v>
      </c>
      <c r="C46" s="25">
        <v>117</v>
      </c>
      <c r="D46" s="25" t="s">
        <v>28</v>
      </c>
      <c r="E46" s="26">
        <v>44916</v>
      </c>
      <c r="F46" s="25">
        <v>7.6</v>
      </c>
      <c r="G46" s="25">
        <v>243000</v>
      </c>
      <c r="H46" s="25">
        <v>7.7750000000000004</v>
      </c>
      <c r="I46" s="25">
        <v>4615</v>
      </c>
      <c r="J46">
        <v>60</v>
      </c>
      <c r="K46">
        <v>64</v>
      </c>
      <c r="N46" s="5" t="s">
        <v>1884</v>
      </c>
      <c r="O46" t="s">
        <v>1885</v>
      </c>
      <c r="P46">
        <v>117</v>
      </c>
      <c r="Q46" t="s">
        <v>12</v>
      </c>
      <c r="R46" s="1">
        <v>44904</v>
      </c>
      <c r="S46">
        <v>8.0210000000000008</v>
      </c>
      <c r="T46" s="6">
        <v>3292</v>
      </c>
    </row>
    <row r="47" spans="1:20" ht="15" thickBot="1" x14ac:dyDescent="0.35">
      <c r="A47" s="25" t="s">
        <v>610</v>
      </c>
      <c r="B47" s="25" t="s">
        <v>611</v>
      </c>
      <c r="C47" s="25">
        <v>148</v>
      </c>
      <c r="D47" s="25" t="s">
        <v>28</v>
      </c>
      <c r="E47" s="26">
        <v>44862</v>
      </c>
      <c r="F47" s="25">
        <v>7.8</v>
      </c>
      <c r="G47" s="25">
        <v>271000</v>
      </c>
      <c r="H47" s="25">
        <v>7.7169999999999996</v>
      </c>
      <c r="I47" s="25">
        <v>4603</v>
      </c>
      <c r="J47">
        <v>76</v>
      </c>
      <c r="K47">
        <v>90</v>
      </c>
      <c r="N47" s="7" t="s">
        <v>729</v>
      </c>
      <c r="O47" s="8" t="s">
        <v>730</v>
      </c>
      <c r="P47" s="8">
        <v>110</v>
      </c>
      <c r="Q47" s="8" t="s">
        <v>12</v>
      </c>
      <c r="R47" s="20">
        <v>45646</v>
      </c>
      <c r="S47" s="8">
        <v>7.6139999999999999</v>
      </c>
      <c r="T47" s="9">
        <v>3213</v>
      </c>
    </row>
    <row r="48" spans="1:20" x14ac:dyDescent="0.3">
      <c r="A48" t="s">
        <v>1506</v>
      </c>
      <c r="B48" t="s">
        <v>1507</v>
      </c>
      <c r="C48">
        <v>115</v>
      </c>
      <c r="D48" t="s">
        <v>15</v>
      </c>
      <c r="E48" s="1">
        <v>45380</v>
      </c>
      <c r="I48">
        <v>4590</v>
      </c>
      <c r="J48">
        <v>47</v>
      </c>
      <c r="K48">
        <v>54</v>
      </c>
    </row>
    <row r="49" spans="1:11" x14ac:dyDescent="0.3">
      <c r="A49" t="s">
        <v>41</v>
      </c>
      <c r="B49" t="s">
        <v>42</v>
      </c>
      <c r="C49">
        <v>134</v>
      </c>
      <c r="D49" t="s">
        <v>15</v>
      </c>
      <c r="E49" s="1">
        <v>45016</v>
      </c>
      <c r="G49">
        <v>257000</v>
      </c>
      <c r="I49">
        <v>4501</v>
      </c>
      <c r="J49">
        <v>72</v>
      </c>
      <c r="K49">
        <v>91</v>
      </c>
    </row>
    <row r="50" spans="1:11" x14ac:dyDescent="0.3">
      <c r="A50" t="s">
        <v>1010</v>
      </c>
      <c r="B50" t="s">
        <v>1011</v>
      </c>
      <c r="C50">
        <v>107</v>
      </c>
      <c r="D50" t="s">
        <v>15</v>
      </c>
      <c r="E50" s="1">
        <v>44785</v>
      </c>
      <c r="I50">
        <v>4457</v>
      </c>
      <c r="J50">
        <v>62</v>
      </c>
      <c r="K50">
        <v>79</v>
      </c>
    </row>
    <row r="51" spans="1:11" x14ac:dyDescent="0.3">
      <c r="A51" t="s">
        <v>978</v>
      </c>
      <c r="B51" t="s">
        <v>979</v>
      </c>
      <c r="C51">
        <v>119</v>
      </c>
      <c r="D51" t="s">
        <v>28</v>
      </c>
      <c r="E51" s="1">
        <v>45520</v>
      </c>
      <c r="G51">
        <v>239000</v>
      </c>
      <c r="I51">
        <v>4441</v>
      </c>
      <c r="J51">
        <v>64</v>
      </c>
      <c r="K51">
        <v>80</v>
      </c>
    </row>
    <row r="52" spans="1:11" x14ac:dyDescent="0.3">
      <c r="A52" t="s">
        <v>908</v>
      </c>
      <c r="B52" t="s">
        <v>909</v>
      </c>
      <c r="C52">
        <v>116</v>
      </c>
      <c r="D52" t="s">
        <v>12</v>
      </c>
      <c r="E52" s="1">
        <v>45275</v>
      </c>
      <c r="G52">
        <v>175000</v>
      </c>
      <c r="I52">
        <v>4336</v>
      </c>
      <c r="J52">
        <v>66</v>
      </c>
      <c r="K52">
        <v>82</v>
      </c>
    </row>
    <row r="53" spans="1:11" x14ac:dyDescent="0.3">
      <c r="A53" t="s">
        <v>1236</v>
      </c>
      <c r="B53" t="s">
        <v>1237</v>
      </c>
      <c r="C53">
        <v>148</v>
      </c>
      <c r="D53" t="s">
        <v>28</v>
      </c>
      <c r="E53" s="1">
        <v>45618</v>
      </c>
      <c r="G53">
        <v>219000</v>
      </c>
      <c r="I53">
        <v>4324</v>
      </c>
      <c r="J53">
        <v>64</v>
      </c>
      <c r="K53">
        <v>70</v>
      </c>
    </row>
    <row r="54" spans="1:11" x14ac:dyDescent="0.3">
      <c r="A54" t="s">
        <v>948</v>
      </c>
      <c r="B54" t="s">
        <v>949</v>
      </c>
      <c r="C54">
        <v>109</v>
      </c>
      <c r="D54" t="s">
        <v>28</v>
      </c>
      <c r="E54" s="1">
        <v>45394</v>
      </c>
      <c r="G54">
        <v>233000</v>
      </c>
      <c r="I54">
        <v>4241</v>
      </c>
      <c r="J54">
        <v>75</v>
      </c>
      <c r="K54">
        <v>81</v>
      </c>
    </row>
    <row r="55" spans="1:11" x14ac:dyDescent="0.3">
      <c r="A55" t="s">
        <v>980</v>
      </c>
      <c r="B55" t="s">
        <v>981</v>
      </c>
      <c r="C55">
        <v>145</v>
      </c>
      <c r="D55" t="s">
        <v>15</v>
      </c>
      <c r="E55" s="1">
        <v>45422</v>
      </c>
      <c r="G55">
        <v>150000</v>
      </c>
      <c r="I55">
        <v>4194</v>
      </c>
      <c r="J55">
        <v>66</v>
      </c>
      <c r="K55">
        <v>80</v>
      </c>
    </row>
    <row r="56" spans="1:11" x14ac:dyDescent="0.3">
      <c r="A56" t="s">
        <v>1617</v>
      </c>
      <c r="B56" t="s">
        <v>1618</v>
      </c>
      <c r="C56">
        <v>122</v>
      </c>
      <c r="D56" t="s">
        <v>15</v>
      </c>
      <c r="E56" s="1">
        <v>44764</v>
      </c>
      <c r="G56">
        <v>256000</v>
      </c>
      <c r="I56">
        <v>4162</v>
      </c>
      <c r="J56">
        <v>49</v>
      </c>
      <c r="K56">
        <v>46</v>
      </c>
    </row>
    <row r="57" spans="1:11" x14ac:dyDescent="0.3">
      <c r="A57" t="s">
        <v>1388</v>
      </c>
      <c r="B57" t="s">
        <v>1389</v>
      </c>
      <c r="C57">
        <v>127</v>
      </c>
      <c r="D57" t="s">
        <v>15</v>
      </c>
      <c r="E57" s="1">
        <v>44603</v>
      </c>
      <c r="G57">
        <v>200000</v>
      </c>
      <c r="I57">
        <v>4138</v>
      </c>
      <c r="J57">
        <v>52</v>
      </c>
      <c r="K57">
        <v>62</v>
      </c>
    </row>
    <row r="58" spans="1:11" x14ac:dyDescent="0.3">
      <c r="A58" t="s">
        <v>1216</v>
      </c>
      <c r="B58" t="s">
        <v>1217</v>
      </c>
      <c r="C58">
        <v>105</v>
      </c>
      <c r="D58" t="s">
        <v>28</v>
      </c>
      <c r="E58" s="1">
        <v>45303</v>
      </c>
      <c r="G58">
        <v>153000</v>
      </c>
      <c r="I58">
        <v>4117</v>
      </c>
      <c r="J58">
        <v>53</v>
      </c>
      <c r="K58">
        <v>71</v>
      </c>
    </row>
    <row r="59" spans="1:11" x14ac:dyDescent="0.3">
      <c r="A59" t="s">
        <v>1698</v>
      </c>
      <c r="B59" t="s">
        <v>1699</v>
      </c>
      <c r="C59">
        <v>110</v>
      </c>
      <c r="D59" t="s">
        <v>15</v>
      </c>
      <c r="E59" s="1">
        <v>45590</v>
      </c>
      <c r="I59">
        <v>4111</v>
      </c>
      <c r="J59">
        <v>41</v>
      </c>
      <c r="K59">
        <v>40</v>
      </c>
    </row>
    <row r="60" spans="1:11" x14ac:dyDescent="0.3">
      <c r="A60" t="s">
        <v>1218</v>
      </c>
      <c r="B60" t="s">
        <v>1219</v>
      </c>
      <c r="C60">
        <v>154</v>
      </c>
      <c r="D60" t="s">
        <v>15</v>
      </c>
      <c r="E60" s="1">
        <v>45107</v>
      </c>
      <c r="G60">
        <v>218000</v>
      </c>
      <c r="I60">
        <v>4086</v>
      </c>
      <c r="J60">
        <v>58</v>
      </c>
      <c r="K60">
        <v>71</v>
      </c>
    </row>
    <row r="61" spans="1:11" x14ac:dyDescent="0.3">
      <c r="A61" s="27" t="s">
        <v>464</v>
      </c>
      <c r="B61" s="27" t="s">
        <v>465</v>
      </c>
      <c r="C61" s="27">
        <v>206</v>
      </c>
      <c r="D61" s="27" t="s">
        <v>28</v>
      </c>
      <c r="E61" s="28">
        <v>45219</v>
      </c>
      <c r="F61" s="27">
        <v>7.6</v>
      </c>
      <c r="G61" s="27">
        <v>279000</v>
      </c>
      <c r="I61">
        <v>4065</v>
      </c>
      <c r="J61">
        <v>89</v>
      </c>
      <c r="K61">
        <v>93</v>
      </c>
    </row>
    <row r="62" spans="1:11" x14ac:dyDescent="0.3">
      <c r="A62" t="s">
        <v>988</v>
      </c>
      <c r="B62" t="s">
        <v>989</v>
      </c>
      <c r="C62">
        <v>115</v>
      </c>
      <c r="D62" t="s">
        <v>28</v>
      </c>
      <c r="E62" s="1">
        <v>44834</v>
      </c>
      <c r="G62">
        <v>212000</v>
      </c>
      <c r="I62">
        <v>3990</v>
      </c>
      <c r="J62">
        <v>68</v>
      </c>
      <c r="K62">
        <v>80</v>
      </c>
    </row>
    <row r="63" spans="1:11" x14ac:dyDescent="0.3">
      <c r="A63" t="s">
        <v>1260</v>
      </c>
      <c r="B63" t="s">
        <v>1261</v>
      </c>
      <c r="C63">
        <v>87</v>
      </c>
      <c r="D63" t="s">
        <v>12</v>
      </c>
      <c r="E63" s="1">
        <v>44743</v>
      </c>
      <c r="I63">
        <v>3985</v>
      </c>
      <c r="J63">
        <v>56</v>
      </c>
      <c r="K63">
        <v>69</v>
      </c>
    </row>
    <row r="64" spans="1:11" x14ac:dyDescent="0.3">
      <c r="A64" t="s">
        <v>1032</v>
      </c>
      <c r="B64" t="s">
        <v>1033</v>
      </c>
      <c r="C64">
        <v>112</v>
      </c>
      <c r="D64" t="s">
        <v>15</v>
      </c>
      <c r="E64" s="1">
        <v>44645</v>
      </c>
      <c r="G64">
        <v>169000</v>
      </c>
      <c r="I64">
        <v>3943</v>
      </c>
      <c r="J64">
        <v>60</v>
      </c>
      <c r="K64">
        <v>78</v>
      </c>
    </row>
    <row r="65" spans="1:11" x14ac:dyDescent="0.3">
      <c r="A65" t="s">
        <v>1878</v>
      </c>
      <c r="B65" t="s">
        <v>1879</v>
      </c>
      <c r="C65">
        <v>116</v>
      </c>
      <c r="D65" t="s">
        <v>15</v>
      </c>
      <c r="E65" s="1">
        <v>45142</v>
      </c>
      <c r="I65">
        <v>3917</v>
      </c>
      <c r="J65">
        <v>40</v>
      </c>
      <c r="K65">
        <v>27</v>
      </c>
    </row>
    <row r="66" spans="1:11" x14ac:dyDescent="0.3">
      <c r="A66" t="s">
        <v>432</v>
      </c>
      <c r="B66" t="s">
        <v>433</v>
      </c>
      <c r="C66">
        <v>105</v>
      </c>
      <c r="D66" t="s">
        <v>28</v>
      </c>
      <c r="E66" s="1">
        <v>44638</v>
      </c>
      <c r="G66">
        <v>206000</v>
      </c>
      <c r="I66">
        <v>3902</v>
      </c>
      <c r="J66">
        <v>80</v>
      </c>
      <c r="K66">
        <v>94</v>
      </c>
    </row>
    <row r="67" spans="1:11" x14ac:dyDescent="0.3">
      <c r="A67" t="s">
        <v>1058</v>
      </c>
      <c r="B67" t="s">
        <v>1059</v>
      </c>
      <c r="C67">
        <v>159</v>
      </c>
      <c r="D67" t="s">
        <v>15</v>
      </c>
      <c r="E67" s="1">
        <v>44736</v>
      </c>
      <c r="G67">
        <v>249000</v>
      </c>
      <c r="I67">
        <v>3837</v>
      </c>
      <c r="J67">
        <v>64</v>
      </c>
      <c r="K67">
        <v>77</v>
      </c>
    </row>
    <row r="68" spans="1:11" x14ac:dyDescent="0.3">
      <c r="A68" t="s">
        <v>1292</v>
      </c>
      <c r="B68" t="s">
        <v>1293</v>
      </c>
      <c r="C68">
        <v>133</v>
      </c>
      <c r="D68" t="s">
        <v>15</v>
      </c>
      <c r="E68" s="1">
        <v>45198</v>
      </c>
      <c r="G68">
        <v>184000</v>
      </c>
      <c r="I68">
        <v>3758</v>
      </c>
      <c r="J68">
        <v>63</v>
      </c>
      <c r="K68">
        <v>67</v>
      </c>
    </row>
    <row r="69" spans="1:11" x14ac:dyDescent="0.3">
      <c r="A69" t="s">
        <v>1220</v>
      </c>
      <c r="B69" t="s">
        <v>1221</v>
      </c>
      <c r="C69">
        <v>103</v>
      </c>
      <c r="D69" t="s">
        <v>28</v>
      </c>
      <c r="E69" s="1">
        <v>45100</v>
      </c>
      <c r="G69">
        <v>192000</v>
      </c>
      <c r="I69">
        <v>3757</v>
      </c>
      <c r="J69">
        <v>59</v>
      </c>
      <c r="K69">
        <v>71</v>
      </c>
    </row>
    <row r="70" spans="1:11" x14ac:dyDescent="0.3">
      <c r="A70" t="s">
        <v>1144</v>
      </c>
      <c r="B70" t="s">
        <v>1145</v>
      </c>
      <c r="C70">
        <v>105</v>
      </c>
      <c r="D70" t="s">
        <v>12</v>
      </c>
      <c r="E70" s="1">
        <v>44729</v>
      </c>
      <c r="I70">
        <v>3754</v>
      </c>
      <c r="J70">
        <v>60</v>
      </c>
      <c r="K70">
        <v>74</v>
      </c>
    </row>
    <row r="71" spans="1:11" x14ac:dyDescent="0.3">
      <c r="A71" t="s">
        <v>1450</v>
      </c>
      <c r="B71" t="s">
        <v>1451</v>
      </c>
      <c r="C71">
        <v>189</v>
      </c>
      <c r="D71" t="s">
        <v>28</v>
      </c>
      <c r="E71" s="1">
        <v>44918</v>
      </c>
      <c r="G71">
        <v>192000</v>
      </c>
      <c r="I71">
        <v>3724</v>
      </c>
      <c r="J71">
        <v>61</v>
      </c>
      <c r="K71">
        <v>57</v>
      </c>
    </row>
    <row r="72" spans="1:11" x14ac:dyDescent="0.3">
      <c r="A72" t="s">
        <v>33</v>
      </c>
      <c r="B72" t="s">
        <v>34</v>
      </c>
      <c r="C72">
        <v>95</v>
      </c>
      <c r="D72" t="s">
        <v>28</v>
      </c>
      <c r="E72" s="1">
        <v>45135</v>
      </c>
      <c r="G72">
        <v>179000</v>
      </c>
      <c r="I72">
        <v>3665</v>
      </c>
      <c r="J72">
        <v>76</v>
      </c>
      <c r="K72">
        <v>94</v>
      </c>
    </row>
    <row r="73" spans="1:11" x14ac:dyDescent="0.3">
      <c r="A73" t="s">
        <v>1088</v>
      </c>
      <c r="B73" t="s">
        <v>1089</v>
      </c>
      <c r="C73">
        <v>109</v>
      </c>
      <c r="D73" t="s">
        <v>28</v>
      </c>
      <c r="E73" s="1">
        <v>45170</v>
      </c>
      <c r="I73">
        <v>3647</v>
      </c>
      <c r="J73">
        <v>58</v>
      </c>
      <c r="K73">
        <v>76</v>
      </c>
    </row>
    <row r="74" spans="1:11" x14ac:dyDescent="0.3">
      <c r="A74" t="s">
        <v>898</v>
      </c>
      <c r="B74" t="s">
        <v>899</v>
      </c>
      <c r="C74">
        <v>126</v>
      </c>
      <c r="D74" t="s">
        <v>15</v>
      </c>
      <c r="E74" s="1">
        <v>45415</v>
      </c>
      <c r="G74">
        <v>217000</v>
      </c>
      <c r="I74">
        <v>3641</v>
      </c>
      <c r="J74">
        <v>73</v>
      </c>
      <c r="K74">
        <v>82</v>
      </c>
    </row>
    <row r="75" spans="1:11" x14ac:dyDescent="0.3">
      <c r="A75" t="s">
        <v>1561</v>
      </c>
      <c r="B75" t="s">
        <v>1562</v>
      </c>
      <c r="C75">
        <v>130</v>
      </c>
      <c r="D75" t="s">
        <v>15</v>
      </c>
      <c r="E75" s="1">
        <v>45002</v>
      </c>
      <c r="I75">
        <v>3598</v>
      </c>
      <c r="J75">
        <v>47</v>
      </c>
      <c r="K75">
        <v>49</v>
      </c>
    </row>
    <row r="76" spans="1:11" x14ac:dyDescent="0.3">
      <c r="A76" t="s">
        <v>800</v>
      </c>
      <c r="B76" t="s">
        <v>801</v>
      </c>
      <c r="C76">
        <v>96</v>
      </c>
      <c r="D76" t="s">
        <v>28</v>
      </c>
      <c r="E76" s="1">
        <v>45037</v>
      </c>
      <c r="G76">
        <v>154000</v>
      </c>
      <c r="I76">
        <v>3595</v>
      </c>
      <c r="J76">
        <v>69</v>
      </c>
      <c r="K76">
        <v>85</v>
      </c>
    </row>
    <row r="77" spans="1:11" x14ac:dyDescent="0.3">
      <c r="A77" s="29" t="s">
        <v>1370</v>
      </c>
      <c r="B77" s="29" t="s">
        <v>1371</v>
      </c>
      <c r="C77" s="29">
        <v>127</v>
      </c>
      <c r="D77" s="29" t="s">
        <v>15</v>
      </c>
      <c r="E77" s="30">
        <v>45702</v>
      </c>
      <c r="F77" s="29"/>
      <c r="G77" s="29"/>
      <c r="H77" s="29">
        <v>7.6180000000000003</v>
      </c>
      <c r="I77" s="29">
        <v>3586</v>
      </c>
      <c r="J77">
        <v>57</v>
      </c>
      <c r="K77">
        <v>62</v>
      </c>
    </row>
    <row r="78" spans="1:11" x14ac:dyDescent="0.3">
      <c r="A78" t="s">
        <v>775</v>
      </c>
      <c r="B78" t="s">
        <v>776</v>
      </c>
      <c r="C78">
        <v>132</v>
      </c>
      <c r="D78" t="s">
        <v>28</v>
      </c>
      <c r="E78" s="1">
        <v>45651</v>
      </c>
      <c r="G78">
        <v>182000</v>
      </c>
      <c r="I78">
        <v>3569</v>
      </c>
      <c r="J78">
        <v>78</v>
      </c>
      <c r="K78">
        <v>85</v>
      </c>
    </row>
    <row r="79" spans="1:11" x14ac:dyDescent="0.3">
      <c r="A79" s="25" t="s">
        <v>1246</v>
      </c>
      <c r="B79" s="25" t="s">
        <v>1247</v>
      </c>
      <c r="C79" s="25">
        <v>126</v>
      </c>
      <c r="D79" s="25" t="s">
        <v>15</v>
      </c>
      <c r="E79" s="26">
        <v>44939</v>
      </c>
      <c r="F79" s="25">
        <v>7.5</v>
      </c>
      <c r="G79" s="25">
        <v>190000</v>
      </c>
      <c r="H79" s="25">
        <v>7.7510000000000003</v>
      </c>
      <c r="I79" s="25">
        <v>3532</v>
      </c>
      <c r="J79">
        <v>51</v>
      </c>
      <c r="K79">
        <v>70</v>
      </c>
    </row>
    <row r="80" spans="1:11" x14ac:dyDescent="0.3">
      <c r="A80" s="25" t="s">
        <v>598</v>
      </c>
      <c r="B80" s="25" t="s">
        <v>599</v>
      </c>
      <c r="C80" s="25">
        <v>144</v>
      </c>
      <c r="D80" s="25" t="s">
        <v>28</v>
      </c>
      <c r="E80" s="26">
        <v>45295</v>
      </c>
      <c r="F80" s="25">
        <v>7.8</v>
      </c>
      <c r="G80" s="25">
        <v>160000</v>
      </c>
      <c r="H80" s="25">
        <v>7.976</v>
      </c>
      <c r="I80" s="25">
        <v>3461</v>
      </c>
      <c r="J80">
        <v>72</v>
      </c>
      <c r="K80">
        <v>90</v>
      </c>
    </row>
    <row r="81" spans="1:11" x14ac:dyDescent="0.3">
      <c r="A81" t="s">
        <v>1344</v>
      </c>
      <c r="B81" t="s">
        <v>1345</v>
      </c>
      <c r="C81">
        <v>157</v>
      </c>
      <c r="D81" t="s">
        <v>15</v>
      </c>
      <c r="E81" s="1">
        <v>45247</v>
      </c>
      <c r="G81">
        <v>155000</v>
      </c>
      <c r="I81">
        <v>3456</v>
      </c>
      <c r="J81">
        <v>54</v>
      </c>
      <c r="K81">
        <v>64</v>
      </c>
    </row>
    <row r="82" spans="1:11" x14ac:dyDescent="0.3">
      <c r="A82" t="s">
        <v>1214</v>
      </c>
      <c r="B82" t="s">
        <v>1215</v>
      </c>
      <c r="C82">
        <v>94</v>
      </c>
      <c r="D82" t="s">
        <v>12</v>
      </c>
      <c r="E82" s="1">
        <v>45359</v>
      </c>
      <c r="I82">
        <v>3449</v>
      </c>
      <c r="J82">
        <v>54</v>
      </c>
      <c r="K82">
        <v>71</v>
      </c>
    </row>
    <row r="83" spans="1:11" x14ac:dyDescent="0.3">
      <c r="A83" t="s">
        <v>1795</v>
      </c>
      <c r="B83" t="s">
        <v>1796</v>
      </c>
      <c r="C83">
        <v>124</v>
      </c>
      <c r="D83" t="s">
        <v>15</v>
      </c>
      <c r="E83" s="1">
        <v>45282</v>
      </c>
      <c r="I83">
        <v>3440</v>
      </c>
      <c r="J83">
        <v>42</v>
      </c>
      <c r="K83">
        <v>33</v>
      </c>
    </row>
    <row r="84" spans="1:11" x14ac:dyDescent="0.3">
      <c r="A84" t="s">
        <v>1012</v>
      </c>
      <c r="B84" t="s">
        <v>1013</v>
      </c>
      <c r="C84">
        <v>137</v>
      </c>
      <c r="D84" t="s">
        <v>28</v>
      </c>
      <c r="E84" s="1">
        <v>45723</v>
      </c>
      <c r="I84">
        <v>3434</v>
      </c>
      <c r="J84">
        <v>72</v>
      </c>
      <c r="K84">
        <v>78</v>
      </c>
    </row>
    <row r="85" spans="1:11" x14ac:dyDescent="0.3">
      <c r="A85" s="29" t="s">
        <v>102</v>
      </c>
      <c r="B85" s="29" t="s">
        <v>103</v>
      </c>
      <c r="C85" s="29">
        <v>134</v>
      </c>
      <c r="D85" s="29" t="s">
        <v>15</v>
      </c>
      <c r="E85" s="30">
        <v>45163</v>
      </c>
      <c r="F85" s="29"/>
      <c r="G85" s="29"/>
      <c r="H85" s="29">
        <v>7.7050000000000001</v>
      </c>
      <c r="I85" s="29">
        <v>3331</v>
      </c>
      <c r="J85">
        <v>48</v>
      </c>
      <c r="K85">
        <v>65</v>
      </c>
    </row>
    <row r="86" spans="1:11" x14ac:dyDescent="0.3">
      <c r="A86" t="s">
        <v>452</v>
      </c>
      <c r="B86" t="s">
        <v>453</v>
      </c>
      <c r="C86">
        <v>120</v>
      </c>
      <c r="D86" t="s">
        <v>12</v>
      </c>
      <c r="E86" s="1">
        <v>45590</v>
      </c>
      <c r="I86">
        <v>3323</v>
      </c>
      <c r="J86">
        <v>79</v>
      </c>
      <c r="K86">
        <v>93</v>
      </c>
    </row>
    <row r="87" spans="1:11" x14ac:dyDescent="0.3">
      <c r="A87" s="27" t="s">
        <v>310</v>
      </c>
      <c r="B87" s="27" t="s">
        <v>311</v>
      </c>
      <c r="C87" s="27">
        <v>114</v>
      </c>
      <c r="D87" s="27" t="s">
        <v>28</v>
      </c>
      <c r="E87" s="28">
        <v>44869</v>
      </c>
      <c r="F87" s="27">
        <v>7.7</v>
      </c>
      <c r="G87" s="27">
        <v>276000</v>
      </c>
      <c r="I87">
        <v>3306</v>
      </c>
      <c r="J87">
        <v>87</v>
      </c>
      <c r="K87">
        <v>96</v>
      </c>
    </row>
    <row r="88" spans="1:11" x14ac:dyDescent="0.3">
      <c r="A88" t="s">
        <v>1356</v>
      </c>
      <c r="B88" t="s">
        <v>1357</v>
      </c>
      <c r="C88">
        <v>105</v>
      </c>
      <c r="D88" t="s">
        <v>15</v>
      </c>
      <c r="E88" s="1">
        <v>45240</v>
      </c>
      <c r="G88">
        <v>146000</v>
      </c>
      <c r="I88">
        <v>3306</v>
      </c>
      <c r="J88">
        <v>50</v>
      </c>
      <c r="K88">
        <v>63</v>
      </c>
    </row>
    <row r="89" spans="1:11" x14ac:dyDescent="0.3">
      <c r="A89" s="29" t="s">
        <v>1884</v>
      </c>
      <c r="B89" s="29" t="s">
        <v>1885</v>
      </c>
      <c r="C89" s="29">
        <v>117</v>
      </c>
      <c r="D89" s="29" t="s">
        <v>12</v>
      </c>
      <c r="E89" s="30">
        <v>44904</v>
      </c>
      <c r="F89" s="29">
        <v>7.6</v>
      </c>
      <c r="G89" s="29"/>
      <c r="H89" s="29">
        <v>8.0210000000000008</v>
      </c>
      <c r="I89" s="29">
        <v>3292</v>
      </c>
      <c r="J89">
        <v>79</v>
      </c>
      <c r="K89">
        <v>27</v>
      </c>
    </row>
    <row r="90" spans="1:11" x14ac:dyDescent="0.3">
      <c r="A90" t="s">
        <v>1294</v>
      </c>
      <c r="B90" t="s">
        <v>1295</v>
      </c>
      <c r="C90">
        <v>135</v>
      </c>
      <c r="D90" t="s">
        <v>12</v>
      </c>
      <c r="E90" s="1">
        <v>45072</v>
      </c>
      <c r="G90">
        <v>167000</v>
      </c>
      <c r="I90">
        <v>3281</v>
      </c>
      <c r="J90">
        <v>59</v>
      </c>
      <c r="K90">
        <v>67</v>
      </c>
    </row>
    <row r="91" spans="1:11" x14ac:dyDescent="0.3">
      <c r="A91" t="s">
        <v>1324</v>
      </c>
      <c r="B91" t="s">
        <v>1325</v>
      </c>
      <c r="C91">
        <v>115</v>
      </c>
      <c r="D91" t="s">
        <v>28</v>
      </c>
      <c r="E91" s="1">
        <v>45450</v>
      </c>
      <c r="I91">
        <v>3278</v>
      </c>
      <c r="J91">
        <v>54</v>
      </c>
      <c r="K91">
        <v>65</v>
      </c>
    </row>
    <row r="92" spans="1:11" x14ac:dyDescent="0.3">
      <c r="A92" t="s">
        <v>737</v>
      </c>
      <c r="B92" t="s">
        <v>738</v>
      </c>
      <c r="C92">
        <v>99</v>
      </c>
      <c r="D92" t="s">
        <v>15</v>
      </c>
      <c r="E92" s="1">
        <v>45471</v>
      </c>
      <c r="G92">
        <v>146000</v>
      </c>
      <c r="I92">
        <v>3266</v>
      </c>
      <c r="J92">
        <v>68</v>
      </c>
      <c r="K92">
        <v>86</v>
      </c>
    </row>
    <row r="93" spans="1:11" x14ac:dyDescent="0.3">
      <c r="A93" s="25" t="s">
        <v>286</v>
      </c>
      <c r="B93" s="25" t="s">
        <v>287</v>
      </c>
      <c r="C93" s="25">
        <v>151</v>
      </c>
      <c r="D93" s="25" t="s">
        <v>28</v>
      </c>
      <c r="E93" s="26">
        <v>45373</v>
      </c>
      <c r="F93" s="25">
        <v>7.6</v>
      </c>
      <c r="G93" s="25">
        <v>172000</v>
      </c>
      <c r="H93" s="25">
        <v>7.524</v>
      </c>
      <c r="I93" s="25">
        <v>3230</v>
      </c>
      <c r="J93">
        <v>86</v>
      </c>
      <c r="K93">
        <v>96</v>
      </c>
    </row>
    <row r="94" spans="1:11" x14ac:dyDescent="0.3">
      <c r="A94" s="29" t="s">
        <v>729</v>
      </c>
      <c r="B94" s="29" t="s">
        <v>730</v>
      </c>
      <c r="C94" s="29">
        <v>110</v>
      </c>
      <c r="D94" s="29" t="s">
        <v>12</v>
      </c>
      <c r="E94" s="30">
        <v>45646</v>
      </c>
      <c r="F94" s="29"/>
      <c r="G94" s="29"/>
      <c r="H94" s="29">
        <v>7.6139999999999999</v>
      </c>
      <c r="I94" s="29">
        <v>3213</v>
      </c>
      <c r="J94">
        <v>56</v>
      </c>
      <c r="K94">
        <v>86</v>
      </c>
    </row>
    <row r="95" spans="1:11" x14ac:dyDescent="0.3">
      <c r="A95" t="s">
        <v>1158</v>
      </c>
      <c r="B95" t="s">
        <v>1159</v>
      </c>
      <c r="C95">
        <v>138</v>
      </c>
      <c r="D95" t="s">
        <v>28</v>
      </c>
      <c r="E95" s="1">
        <v>45268</v>
      </c>
      <c r="G95">
        <v>228000</v>
      </c>
      <c r="I95">
        <v>3169</v>
      </c>
      <c r="J95">
        <v>68</v>
      </c>
      <c r="K95">
        <v>73</v>
      </c>
    </row>
    <row r="96" spans="1:11" x14ac:dyDescent="0.3">
      <c r="A96" t="s">
        <v>531</v>
      </c>
      <c r="B96" t="s">
        <v>532</v>
      </c>
      <c r="C96">
        <v>102</v>
      </c>
      <c r="D96" t="s">
        <v>28</v>
      </c>
      <c r="E96" s="1">
        <v>44813</v>
      </c>
      <c r="G96">
        <v>218000</v>
      </c>
      <c r="I96">
        <v>3156</v>
      </c>
      <c r="J96">
        <v>78</v>
      </c>
      <c r="K96">
        <v>92</v>
      </c>
    </row>
    <row r="97" spans="1:11" x14ac:dyDescent="0.3">
      <c r="A97" t="s">
        <v>1496</v>
      </c>
      <c r="B97" t="s">
        <v>1497</v>
      </c>
      <c r="C97">
        <v>94</v>
      </c>
      <c r="D97" t="s">
        <v>12</v>
      </c>
      <c r="E97" s="1">
        <v>45476</v>
      </c>
      <c r="I97">
        <v>3147</v>
      </c>
      <c r="J97">
        <v>52</v>
      </c>
      <c r="K97">
        <v>55</v>
      </c>
    </row>
    <row r="98" spans="1:11" x14ac:dyDescent="0.3">
      <c r="A98" t="s">
        <v>1052</v>
      </c>
      <c r="B98" t="s">
        <v>1053</v>
      </c>
      <c r="C98">
        <v>122</v>
      </c>
      <c r="D98" t="s">
        <v>28</v>
      </c>
      <c r="E98" s="1">
        <v>44995</v>
      </c>
      <c r="I98">
        <v>3130</v>
      </c>
      <c r="J98">
        <v>61</v>
      </c>
      <c r="K98">
        <v>77</v>
      </c>
    </row>
    <row r="99" spans="1:11" x14ac:dyDescent="0.3">
      <c r="A99" s="25" t="s">
        <v>916</v>
      </c>
      <c r="B99" s="25" t="s">
        <v>917</v>
      </c>
      <c r="C99" s="25">
        <v>123</v>
      </c>
      <c r="D99" s="25" t="s">
        <v>28</v>
      </c>
      <c r="E99" s="26">
        <v>45037</v>
      </c>
      <c r="F99" s="25">
        <v>7.5</v>
      </c>
      <c r="G99" s="25">
        <v>187000</v>
      </c>
      <c r="H99" s="25">
        <v>7.7160000000000002</v>
      </c>
      <c r="I99" s="25">
        <v>3117</v>
      </c>
      <c r="J99">
        <v>63</v>
      </c>
      <c r="K99">
        <v>82</v>
      </c>
    </row>
    <row r="100" spans="1:11" x14ac:dyDescent="0.3">
      <c r="A100" t="s">
        <v>1542</v>
      </c>
      <c r="B100" t="s">
        <v>1543</v>
      </c>
      <c r="C100">
        <v>103</v>
      </c>
      <c r="D100" t="s">
        <v>28</v>
      </c>
      <c r="E100" s="1">
        <v>45030</v>
      </c>
      <c r="I100">
        <v>3108</v>
      </c>
      <c r="J100">
        <v>45</v>
      </c>
      <c r="K100">
        <v>51</v>
      </c>
    </row>
    <row r="101" spans="1:11" x14ac:dyDescent="0.3">
      <c r="A101" s="25" t="s">
        <v>190</v>
      </c>
      <c r="B101" s="25" t="s">
        <v>191</v>
      </c>
      <c r="C101" s="25">
        <v>124</v>
      </c>
      <c r="D101" s="25" t="s">
        <v>15</v>
      </c>
      <c r="E101" s="26">
        <v>45261</v>
      </c>
      <c r="F101" s="25">
        <v>7.7</v>
      </c>
      <c r="G101" s="25">
        <v>168000</v>
      </c>
      <c r="H101" s="25">
        <v>7.5730000000000004</v>
      </c>
      <c r="I101" s="25">
        <v>3082</v>
      </c>
      <c r="J101">
        <v>81</v>
      </c>
      <c r="K101">
        <v>99</v>
      </c>
    </row>
    <row r="102" spans="1:11" x14ac:dyDescent="0.3">
      <c r="A102" t="s">
        <v>1178</v>
      </c>
      <c r="B102" t="s">
        <v>1179</v>
      </c>
      <c r="C102">
        <v>131</v>
      </c>
      <c r="D102" t="s">
        <v>28</v>
      </c>
      <c r="E102" s="1">
        <v>45282</v>
      </c>
      <c r="G102">
        <v>242000</v>
      </c>
      <c r="J102">
        <v>61</v>
      </c>
      <c r="K102">
        <v>72</v>
      </c>
    </row>
    <row r="103" spans="1:11" x14ac:dyDescent="0.3">
      <c r="A103" t="s">
        <v>793</v>
      </c>
      <c r="B103" t="s">
        <v>778</v>
      </c>
      <c r="C103">
        <v>118</v>
      </c>
      <c r="D103" t="s">
        <v>28</v>
      </c>
      <c r="E103" s="1">
        <v>45240</v>
      </c>
      <c r="G103">
        <v>209000</v>
      </c>
      <c r="J103">
        <v>73</v>
      </c>
      <c r="K103">
        <v>85</v>
      </c>
    </row>
    <row r="104" spans="1:11" x14ac:dyDescent="0.3">
      <c r="A104" t="s">
        <v>1194</v>
      </c>
      <c r="B104" t="s">
        <v>1195</v>
      </c>
      <c r="C104">
        <v>147</v>
      </c>
      <c r="D104" t="s">
        <v>28</v>
      </c>
      <c r="E104" s="1">
        <v>44822</v>
      </c>
      <c r="G104">
        <v>200000</v>
      </c>
      <c r="J104">
        <v>63</v>
      </c>
      <c r="K104">
        <v>72</v>
      </c>
    </row>
    <row r="105" spans="1:11" x14ac:dyDescent="0.3">
      <c r="A105" s="27" t="s">
        <v>246</v>
      </c>
      <c r="B105" s="27" t="s">
        <v>247</v>
      </c>
      <c r="C105" s="27">
        <v>133</v>
      </c>
      <c r="D105" s="27" t="s">
        <v>28</v>
      </c>
      <c r="E105" s="28">
        <v>45240</v>
      </c>
      <c r="F105" s="27">
        <v>7.9</v>
      </c>
      <c r="G105" s="27">
        <v>197000</v>
      </c>
      <c r="H105">
        <v>7.6509999999999998</v>
      </c>
      <c r="J105">
        <v>82</v>
      </c>
      <c r="K105">
        <v>97</v>
      </c>
    </row>
    <row r="106" spans="1:11" x14ac:dyDescent="0.3">
      <c r="A106" t="s">
        <v>472</v>
      </c>
      <c r="B106" t="s">
        <v>473</v>
      </c>
      <c r="C106">
        <v>111</v>
      </c>
      <c r="D106" t="s">
        <v>28</v>
      </c>
      <c r="E106" s="1">
        <v>45021</v>
      </c>
      <c r="G106">
        <v>182000</v>
      </c>
      <c r="J106">
        <v>73</v>
      </c>
      <c r="K106">
        <v>93</v>
      </c>
    </row>
    <row r="107" spans="1:11" x14ac:dyDescent="0.3">
      <c r="A107" t="s">
        <v>779</v>
      </c>
      <c r="B107" t="s">
        <v>780</v>
      </c>
      <c r="C107">
        <v>101</v>
      </c>
      <c r="D107" t="s">
        <v>28</v>
      </c>
      <c r="E107" s="1">
        <v>45485</v>
      </c>
      <c r="G107">
        <v>180000</v>
      </c>
      <c r="J107">
        <v>77</v>
      </c>
      <c r="K107">
        <v>85</v>
      </c>
    </row>
    <row r="108" spans="1:11" x14ac:dyDescent="0.3">
      <c r="A108" t="s">
        <v>1258</v>
      </c>
      <c r="B108" t="s">
        <v>1259</v>
      </c>
      <c r="C108">
        <v>159</v>
      </c>
      <c r="D108" t="s">
        <v>15</v>
      </c>
      <c r="E108" s="1">
        <v>44784</v>
      </c>
      <c r="G108">
        <v>179000</v>
      </c>
      <c r="J108">
        <v>46</v>
      </c>
      <c r="K108">
        <v>69</v>
      </c>
    </row>
    <row r="109" spans="1:11" x14ac:dyDescent="0.3">
      <c r="A109" s="27" t="s">
        <v>324</v>
      </c>
      <c r="B109" s="27" t="s">
        <v>325</v>
      </c>
      <c r="C109" s="27">
        <v>187</v>
      </c>
      <c r="D109" s="27" t="s">
        <v>63</v>
      </c>
      <c r="E109" s="28">
        <v>44645</v>
      </c>
      <c r="F109" s="27">
        <v>7.8</v>
      </c>
      <c r="G109" s="27">
        <v>177000</v>
      </c>
      <c r="H109">
        <v>7.7149999999999999</v>
      </c>
      <c r="J109">
        <v>83</v>
      </c>
      <c r="K109">
        <v>96</v>
      </c>
    </row>
    <row r="110" spans="1:11" x14ac:dyDescent="0.3">
      <c r="A110" t="s">
        <v>1436</v>
      </c>
      <c r="B110" t="s">
        <v>1437</v>
      </c>
      <c r="C110">
        <v>158</v>
      </c>
      <c r="D110" t="s">
        <v>28</v>
      </c>
      <c r="E110" s="1">
        <v>45252</v>
      </c>
      <c r="G110">
        <v>171000</v>
      </c>
      <c r="J110">
        <v>64</v>
      </c>
      <c r="K110">
        <v>58</v>
      </c>
    </row>
    <row r="111" spans="1:11" x14ac:dyDescent="0.3">
      <c r="A111" t="s">
        <v>721</v>
      </c>
      <c r="B111" t="s">
        <v>722</v>
      </c>
      <c r="C111">
        <v>107</v>
      </c>
      <c r="D111" t="s">
        <v>28</v>
      </c>
      <c r="E111" s="1">
        <v>44673</v>
      </c>
      <c r="G111">
        <v>168000</v>
      </c>
      <c r="J111">
        <v>68</v>
      </c>
      <c r="K111">
        <v>87</v>
      </c>
    </row>
    <row r="112" spans="1:11" x14ac:dyDescent="0.3">
      <c r="A112" t="s">
        <v>116</v>
      </c>
      <c r="B112" t="s">
        <v>117</v>
      </c>
      <c r="C112">
        <v>121</v>
      </c>
      <c r="D112" t="s">
        <v>28</v>
      </c>
      <c r="E112" s="1">
        <v>45372</v>
      </c>
      <c r="G112">
        <v>166000</v>
      </c>
      <c r="J112">
        <v>57</v>
      </c>
      <c r="K112">
        <v>50</v>
      </c>
    </row>
    <row r="113" spans="1:11" x14ac:dyDescent="0.3">
      <c r="A113" t="s">
        <v>1746</v>
      </c>
      <c r="B113" t="s">
        <v>1747</v>
      </c>
      <c r="C113">
        <v>123</v>
      </c>
      <c r="D113" t="s">
        <v>28</v>
      </c>
      <c r="E113" s="1">
        <v>44827</v>
      </c>
      <c r="G113">
        <v>163000</v>
      </c>
      <c r="J113">
        <v>48</v>
      </c>
      <c r="K113">
        <v>38</v>
      </c>
    </row>
    <row r="114" spans="1:11" x14ac:dyDescent="0.3">
      <c r="A114" s="27" t="s">
        <v>448</v>
      </c>
      <c r="B114" s="27" t="s">
        <v>449</v>
      </c>
      <c r="C114" s="27">
        <v>139</v>
      </c>
      <c r="D114" s="27" t="s">
        <v>28</v>
      </c>
      <c r="E114" s="28">
        <v>45604</v>
      </c>
      <c r="F114" s="27">
        <v>7.6</v>
      </c>
      <c r="G114" s="27">
        <v>162000</v>
      </c>
      <c r="J114">
        <v>91</v>
      </c>
      <c r="K114">
        <v>93</v>
      </c>
    </row>
    <row r="115" spans="1:11" x14ac:dyDescent="0.3">
      <c r="A115" t="s">
        <v>986</v>
      </c>
      <c r="B115" t="s">
        <v>987</v>
      </c>
      <c r="C115">
        <v>122</v>
      </c>
      <c r="D115" t="s">
        <v>28</v>
      </c>
      <c r="E115" s="1">
        <v>45093</v>
      </c>
      <c r="G115">
        <v>162000</v>
      </c>
      <c r="J115">
        <v>57</v>
      </c>
      <c r="K115">
        <v>80</v>
      </c>
    </row>
    <row r="116" spans="1:11" x14ac:dyDescent="0.3">
      <c r="A116" t="s">
        <v>1112</v>
      </c>
      <c r="B116" t="s">
        <v>1113</v>
      </c>
      <c r="C116">
        <v>122</v>
      </c>
      <c r="D116" t="s">
        <v>15</v>
      </c>
      <c r="E116" s="1">
        <v>45492</v>
      </c>
      <c r="G116">
        <v>162000</v>
      </c>
      <c r="J116">
        <v>65</v>
      </c>
      <c r="K116">
        <v>75</v>
      </c>
    </row>
    <row r="117" spans="1:11" x14ac:dyDescent="0.3">
      <c r="A117" t="s">
        <v>657</v>
      </c>
      <c r="B117" t="s">
        <v>658</v>
      </c>
      <c r="C117">
        <v>119</v>
      </c>
      <c r="D117" t="s">
        <v>15</v>
      </c>
      <c r="E117" s="1">
        <v>45639</v>
      </c>
      <c r="G117">
        <v>161000</v>
      </c>
      <c r="J117">
        <v>69</v>
      </c>
      <c r="K117">
        <v>88</v>
      </c>
    </row>
    <row r="118" spans="1:11" x14ac:dyDescent="0.3">
      <c r="A118" t="s">
        <v>920</v>
      </c>
      <c r="B118" t="s">
        <v>921</v>
      </c>
      <c r="C118">
        <v>146</v>
      </c>
      <c r="D118" t="s">
        <v>18</v>
      </c>
      <c r="E118" s="1">
        <v>44951</v>
      </c>
      <c r="G118">
        <v>160000</v>
      </c>
      <c r="J118">
        <v>47</v>
      </c>
      <c r="K118">
        <v>82</v>
      </c>
    </row>
    <row r="119" spans="1:11" x14ac:dyDescent="0.3">
      <c r="A119" t="s">
        <v>1819</v>
      </c>
      <c r="B119" t="s">
        <v>1820</v>
      </c>
      <c r="C119">
        <v>138</v>
      </c>
      <c r="D119" t="s">
        <v>28</v>
      </c>
      <c r="E119" s="1">
        <v>45569</v>
      </c>
      <c r="G119">
        <v>157000</v>
      </c>
      <c r="J119">
        <v>45</v>
      </c>
      <c r="K119">
        <v>31</v>
      </c>
    </row>
    <row r="120" spans="1:11" x14ac:dyDescent="0.3">
      <c r="A120" t="s">
        <v>426</v>
      </c>
      <c r="B120" t="s">
        <v>427</v>
      </c>
      <c r="C120">
        <v>117</v>
      </c>
      <c r="D120" t="s">
        <v>28</v>
      </c>
      <c r="E120" s="1">
        <v>44720</v>
      </c>
      <c r="G120">
        <v>154000</v>
      </c>
      <c r="H120">
        <v>7.7039999999999997</v>
      </c>
      <c r="J120">
        <v>68</v>
      </c>
      <c r="K120">
        <v>94</v>
      </c>
    </row>
    <row r="121" spans="1:11" x14ac:dyDescent="0.3">
      <c r="A121" t="s">
        <v>667</v>
      </c>
      <c r="B121" t="s">
        <v>668</v>
      </c>
      <c r="C121">
        <v>131</v>
      </c>
      <c r="D121" t="s">
        <v>28</v>
      </c>
      <c r="E121" s="1">
        <v>45408</v>
      </c>
      <c r="G121">
        <v>152000</v>
      </c>
      <c r="J121">
        <v>82</v>
      </c>
      <c r="K121">
        <v>88</v>
      </c>
    </row>
    <row r="122" spans="1:11" x14ac:dyDescent="0.3">
      <c r="A122" t="s">
        <v>130</v>
      </c>
      <c r="B122" t="s">
        <v>131</v>
      </c>
      <c r="C122">
        <v>109</v>
      </c>
      <c r="D122" t="s">
        <v>12</v>
      </c>
      <c r="E122" s="1">
        <v>45737</v>
      </c>
      <c r="G122">
        <v>152000</v>
      </c>
      <c r="J122">
        <v>50</v>
      </c>
      <c r="K122">
        <v>39</v>
      </c>
    </row>
    <row r="123" spans="1:11" x14ac:dyDescent="0.3">
      <c r="A123" s="27" t="s">
        <v>354</v>
      </c>
      <c r="B123" s="27" t="s">
        <v>355</v>
      </c>
      <c r="C123" s="27">
        <v>105</v>
      </c>
      <c r="D123" s="27" t="s">
        <v>15</v>
      </c>
      <c r="E123" s="28">
        <v>45100</v>
      </c>
      <c r="F123" s="27">
        <v>7.8</v>
      </c>
      <c r="G123" s="27">
        <v>149000</v>
      </c>
      <c r="H123">
        <v>7.7</v>
      </c>
      <c r="J123">
        <v>94</v>
      </c>
      <c r="K123">
        <v>95</v>
      </c>
    </row>
    <row r="124" spans="1:11" x14ac:dyDescent="0.3">
      <c r="A124" s="27" t="s">
        <v>659</v>
      </c>
      <c r="B124" s="27" t="s">
        <v>660</v>
      </c>
      <c r="C124" s="27">
        <v>160</v>
      </c>
      <c r="D124" s="27" t="s">
        <v>12</v>
      </c>
      <c r="E124" s="28">
        <v>45618</v>
      </c>
      <c r="F124" s="27">
        <v>7.5</v>
      </c>
      <c r="G124" s="27">
        <v>147000</v>
      </c>
      <c r="J124">
        <v>73</v>
      </c>
      <c r="K124">
        <v>88</v>
      </c>
    </row>
    <row r="125" spans="1:11" x14ac:dyDescent="0.3">
      <c r="A125" t="s">
        <v>1787</v>
      </c>
      <c r="B125" t="s">
        <v>1788</v>
      </c>
      <c r="C125">
        <v>125</v>
      </c>
      <c r="D125" t="s">
        <v>15</v>
      </c>
      <c r="E125" s="1">
        <v>44757</v>
      </c>
      <c r="G125">
        <v>145000</v>
      </c>
      <c r="H125">
        <v>7.5289999999999999</v>
      </c>
      <c r="J125">
        <v>43</v>
      </c>
      <c r="K125">
        <v>34</v>
      </c>
    </row>
    <row r="126" spans="1:11" x14ac:dyDescent="0.3">
      <c r="A126" t="s">
        <v>206</v>
      </c>
      <c r="B126" t="s">
        <v>207</v>
      </c>
      <c r="C126">
        <v>169</v>
      </c>
      <c r="D126" t="s">
        <v>18</v>
      </c>
      <c r="E126" s="1">
        <v>45261</v>
      </c>
      <c r="F126">
        <v>8.6</v>
      </c>
      <c r="H126">
        <v>8.1999999999999993</v>
      </c>
      <c r="J126">
        <v>86</v>
      </c>
      <c r="K126">
        <v>98</v>
      </c>
    </row>
    <row r="127" spans="1:11" x14ac:dyDescent="0.3">
      <c r="A127" t="s">
        <v>21</v>
      </c>
      <c r="B127" t="s">
        <v>22</v>
      </c>
      <c r="C127">
        <v>137</v>
      </c>
      <c r="D127" t="s">
        <v>15</v>
      </c>
      <c r="E127" s="1">
        <v>45695</v>
      </c>
      <c r="F127">
        <v>8.4</v>
      </c>
      <c r="H127">
        <v>7.9020000000000001</v>
      </c>
      <c r="J127">
        <v>85</v>
      </c>
      <c r="K127">
        <v>97</v>
      </c>
    </row>
    <row r="128" spans="1:11" x14ac:dyDescent="0.3">
      <c r="A128" t="s">
        <v>496</v>
      </c>
      <c r="B128" t="s">
        <v>497</v>
      </c>
      <c r="C128">
        <v>143</v>
      </c>
      <c r="D128" t="s">
        <v>18</v>
      </c>
      <c r="E128" s="1">
        <v>45686</v>
      </c>
      <c r="F128">
        <v>8.1999999999999993</v>
      </c>
      <c r="H128">
        <v>8.1180000000000003</v>
      </c>
      <c r="J128">
        <v>59</v>
      </c>
      <c r="K128">
        <v>92</v>
      </c>
    </row>
    <row r="129" spans="1:11" x14ac:dyDescent="0.3">
      <c r="A129" t="s">
        <v>224</v>
      </c>
      <c r="B129" t="s">
        <v>225</v>
      </c>
      <c r="C129">
        <v>103</v>
      </c>
      <c r="D129" t="s">
        <v>15</v>
      </c>
      <c r="E129" s="1">
        <v>45590</v>
      </c>
      <c r="F129">
        <v>8.1999999999999993</v>
      </c>
      <c r="H129">
        <v>8.0950000000000006</v>
      </c>
      <c r="J129">
        <v>78</v>
      </c>
      <c r="K129">
        <v>97</v>
      </c>
    </row>
    <row r="130" spans="1:11" x14ac:dyDescent="0.3">
      <c r="A130" t="s">
        <v>19</v>
      </c>
      <c r="B130" t="s">
        <v>20</v>
      </c>
      <c r="C130">
        <v>99</v>
      </c>
      <c r="D130" t="s">
        <v>12</v>
      </c>
      <c r="E130" s="1">
        <v>44723</v>
      </c>
      <c r="F130">
        <v>8.1999999999999993</v>
      </c>
      <c r="J130">
        <v>79</v>
      </c>
      <c r="K130">
        <v>98</v>
      </c>
    </row>
    <row r="131" spans="1:11" x14ac:dyDescent="0.3">
      <c r="A131" t="s">
        <v>180</v>
      </c>
      <c r="B131" t="s">
        <v>181</v>
      </c>
      <c r="C131">
        <v>124</v>
      </c>
      <c r="D131" t="s">
        <v>15</v>
      </c>
      <c r="E131" s="1">
        <v>45135</v>
      </c>
      <c r="F131">
        <v>8.1</v>
      </c>
      <c r="H131">
        <v>7.7850000000000001</v>
      </c>
      <c r="J131">
        <v>79</v>
      </c>
      <c r="K131">
        <v>100</v>
      </c>
    </row>
    <row r="132" spans="1:11" x14ac:dyDescent="0.3">
      <c r="A132" t="s">
        <v>330</v>
      </c>
      <c r="B132" t="s">
        <v>331</v>
      </c>
      <c r="C132">
        <v>102</v>
      </c>
      <c r="D132" t="s">
        <v>15</v>
      </c>
      <c r="E132" s="1">
        <v>45779</v>
      </c>
      <c r="F132">
        <v>8.1</v>
      </c>
      <c r="J132">
        <v>75</v>
      </c>
      <c r="K132">
        <v>95</v>
      </c>
    </row>
    <row r="133" spans="1:11" x14ac:dyDescent="0.3">
      <c r="A133" t="s">
        <v>318</v>
      </c>
      <c r="B133" t="s">
        <v>319</v>
      </c>
      <c r="C133">
        <v>112</v>
      </c>
      <c r="D133" t="s">
        <v>12</v>
      </c>
      <c r="E133" s="1">
        <v>44724</v>
      </c>
      <c r="F133">
        <v>8.1</v>
      </c>
      <c r="J133">
        <v>81</v>
      </c>
      <c r="K133">
        <v>96</v>
      </c>
    </row>
    <row r="134" spans="1:11" x14ac:dyDescent="0.3">
      <c r="A134" t="s">
        <v>13</v>
      </c>
      <c r="B134" t="s">
        <v>14</v>
      </c>
      <c r="C134">
        <v>169</v>
      </c>
      <c r="D134" t="s">
        <v>15</v>
      </c>
      <c r="E134" s="1">
        <v>45211</v>
      </c>
      <c r="F134">
        <v>8</v>
      </c>
      <c r="H134">
        <v>8.1890000000000001</v>
      </c>
      <c r="J134">
        <v>82</v>
      </c>
      <c r="K134">
        <v>98</v>
      </c>
    </row>
    <row r="135" spans="1:11" x14ac:dyDescent="0.3">
      <c r="A135" t="s">
        <v>200</v>
      </c>
      <c r="B135" t="s">
        <v>201</v>
      </c>
      <c r="C135">
        <v>125</v>
      </c>
      <c r="D135" t="s">
        <v>160</v>
      </c>
      <c r="E135" s="1">
        <v>45548</v>
      </c>
      <c r="F135">
        <v>8</v>
      </c>
      <c r="H135">
        <v>8.1199999999999992</v>
      </c>
      <c r="J135">
        <v>74</v>
      </c>
      <c r="K135">
        <v>98</v>
      </c>
    </row>
    <row r="136" spans="1:11" x14ac:dyDescent="0.3">
      <c r="A136" t="s">
        <v>695</v>
      </c>
      <c r="B136" t="s">
        <v>696</v>
      </c>
      <c r="C136">
        <v>127</v>
      </c>
      <c r="D136" t="s">
        <v>15</v>
      </c>
      <c r="E136" s="1">
        <v>45716</v>
      </c>
      <c r="F136">
        <v>8</v>
      </c>
      <c r="J136">
        <v>71</v>
      </c>
      <c r="K136">
        <v>87</v>
      </c>
    </row>
    <row r="137" spans="1:11" x14ac:dyDescent="0.3">
      <c r="A137" t="s">
        <v>222</v>
      </c>
      <c r="B137" t="s">
        <v>223</v>
      </c>
      <c r="C137">
        <v>85</v>
      </c>
      <c r="D137" t="s">
        <v>12</v>
      </c>
      <c r="E137" s="1">
        <v>45702</v>
      </c>
      <c r="F137">
        <v>7.9</v>
      </c>
      <c r="H137">
        <v>8.0890000000000004</v>
      </c>
      <c r="J137">
        <v>87</v>
      </c>
      <c r="K137">
        <v>97</v>
      </c>
    </row>
    <row r="138" spans="1:11" x14ac:dyDescent="0.3">
      <c r="A138" t="s">
        <v>176</v>
      </c>
      <c r="B138" t="s">
        <v>177</v>
      </c>
      <c r="C138">
        <v>115</v>
      </c>
      <c r="D138" t="s">
        <v>15</v>
      </c>
      <c r="E138" s="1">
        <v>45258</v>
      </c>
      <c r="F138">
        <v>7.9</v>
      </c>
      <c r="H138">
        <v>7.8</v>
      </c>
      <c r="J138">
        <v>85</v>
      </c>
      <c r="K138">
        <v>100</v>
      </c>
    </row>
    <row r="139" spans="1:11" x14ac:dyDescent="0.3">
      <c r="A139" t="s">
        <v>292</v>
      </c>
      <c r="B139" t="s">
        <v>293</v>
      </c>
      <c r="C139">
        <v>124</v>
      </c>
      <c r="D139" t="s">
        <v>12</v>
      </c>
      <c r="E139" s="1">
        <v>45281</v>
      </c>
      <c r="F139">
        <v>7.9</v>
      </c>
      <c r="H139">
        <v>7.79</v>
      </c>
      <c r="J139">
        <v>80</v>
      </c>
      <c r="K139">
        <v>96</v>
      </c>
    </row>
    <row r="140" spans="1:11" x14ac:dyDescent="0.3">
      <c r="A140" t="s">
        <v>326</v>
      </c>
      <c r="B140" t="s">
        <v>327</v>
      </c>
      <c r="C140">
        <v>102</v>
      </c>
      <c r="D140" t="s">
        <v>90</v>
      </c>
      <c r="E140" s="1">
        <v>44632</v>
      </c>
      <c r="F140">
        <v>7.9</v>
      </c>
      <c r="J140">
        <v>73</v>
      </c>
      <c r="K140">
        <v>96</v>
      </c>
    </row>
    <row r="141" spans="1:11" x14ac:dyDescent="0.3">
      <c r="A141" t="s">
        <v>486</v>
      </c>
      <c r="B141" t="s">
        <v>487</v>
      </c>
      <c r="C141">
        <v>127</v>
      </c>
      <c r="D141" t="s">
        <v>18</v>
      </c>
      <c r="E141" s="1">
        <v>44764</v>
      </c>
      <c r="F141">
        <v>7.9</v>
      </c>
      <c r="J141">
        <v>70</v>
      </c>
      <c r="K141">
        <v>93</v>
      </c>
    </row>
    <row r="142" spans="1:11" x14ac:dyDescent="0.3">
      <c r="A142" t="s">
        <v>296</v>
      </c>
      <c r="B142" t="s">
        <v>297</v>
      </c>
      <c r="C142">
        <v>125</v>
      </c>
      <c r="D142" t="s">
        <v>15</v>
      </c>
      <c r="E142" s="1">
        <v>45233</v>
      </c>
      <c r="F142">
        <v>7.8</v>
      </c>
      <c r="H142">
        <v>8.3219999999999992</v>
      </c>
      <c r="J142">
        <v>70</v>
      </c>
      <c r="K142">
        <v>96</v>
      </c>
    </row>
    <row r="143" spans="1:11" x14ac:dyDescent="0.3">
      <c r="A143" t="s">
        <v>218</v>
      </c>
      <c r="B143" t="s">
        <v>219</v>
      </c>
      <c r="C143">
        <v>112</v>
      </c>
      <c r="D143" t="s">
        <v>15</v>
      </c>
      <c r="E143" s="1">
        <v>44638</v>
      </c>
      <c r="F143">
        <v>7.8</v>
      </c>
      <c r="H143">
        <v>8.1110000000000007</v>
      </c>
      <c r="J143">
        <v>71</v>
      </c>
      <c r="K143">
        <v>98</v>
      </c>
    </row>
    <row r="144" spans="1:11" x14ac:dyDescent="0.3">
      <c r="A144" t="s">
        <v>161</v>
      </c>
      <c r="B144" t="s">
        <v>162</v>
      </c>
      <c r="C144">
        <v>58</v>
      </c>
      <c r="D144" t="s">
        <v>163</v>
      </c>
      <c r="E144" s="1">
        <v>45603</v>
      </c>
      <c r="F144">
        <v>7.8</v>
      </c>
      <c r="H144">
        <v>8.0619999999999994</v>
      </c>
      <c r="J144">
        <v>90</v>
      </c>
      <c r="K144">
        <v>100</v>
      </c>
    </row>
    <row r="145" spans="1:11" x14ac:dyDescent="0.3">
      <c r="A145" t="s">
        <v>336</v>
      </c>
      <c r="B145" t="s">
        <v>337</v>
      </c>
      <c r="C145">
        <v>95</v>
      </c>
      <c r="D145" t="s">
        <v>28</v>
      </c>
      <c r="E145" s="1">
        <v>45582</v>
      </c>
      <c r="F145">
        <v>7.8</v>
      </c>
      <c r="H145">
        <v>8.0429999999999993</v>
      </c>
      <c r="J145">
        <v>81</v>
      </c>
      <c r="K145">
        <v>95</v>
      </c>
    </row>
    <row r="146" spans="1:11" x14ac:dyDescent="0.3">
      <c r="A146" t="s">
        <v>242</v>
      </c>
      <c r="B146" t="s">
        <v>243</v>
      </c>
      <c r="C146">
        <v>127</v>
      </c>
      <c r="D146" t="s">
        <v>15</v>
      </c>
      <c r="E146" s="1">
        <v>45252</v>
      </c>
      <c r="F146">
        <v>7.8</v>
      </c>
      <c r="H146">
        <v>7.9210000000000003</v>
      </c>
      <c r="J146">
        <v>79</v>
      </c>
      <c r="K146">
        <v>97</v>
      </c>
    </row>
    <row r="147" spans="1:11" x14ac:dyDescent="0.3">
      <c r="A147" t="s">
        <v>812</v>
      </c>
      <c r="B147" t="s">
        <v>813</v>
      </c>
      <c r="C147">
        <v>147</v>
      </c>
      <c r="D147" t="s">
        <v>15</v>
      </c>
      <c r="E147" s="1">
        <v>44778</v>
      </c>
      <c r="F147">
        <v>7.8</v>
      </c>
      <c r="H147">
        <v>7.8470000000000004</v>
      </c>
      <c r="J147">
        <v>66</v>
      </c>
      <c r="K147">
        <v>85</v>
      </c>
    </row>
    <row r="148" spans="1:11" x14ac:dyDescent="0.3">
      <c r="A148" t="s">
        <v>568</v>
      </c>
      <c r="B148" t="s">
        <v>569</v>
      </c>
      <c r="C148">
        <v>104</v>
      </c>
      <c r="D148" t="s">
        <v>15</v>
      </c>
      <c r="E148" s="1">
        <v>44866</v>
      </c>
      <c r="F148">
        <v>7.8</v>
      </c>
      <c r="H148">
        <v>7.7729999999999997</v>
      </c>
      <c r="J148">
        <v>81</v>
      </c>
      <c r="K148">
        <v>91</v>
      </c>
    </row>
    <row r="149" spans="1:11" x14ac:dyDescent="0.3">
      <c r="A149" t="s">
        <v>186</v>
      </c>
      <c r="B149" t="s">
        <v>187</v>
      </c>
      <c r="C149">
        <v>129</v>
      </c>
      <c r="D149" t="s">
        <v>18</v>
      </c>
      <c r="E149" s="1">
        <v>44715</v>
      </c>
      <c r="F149">
        <v>7.8</v>
      </c>
      <c r="J149">
        <v>81</v>
      </c>
      <c r="K149">
        <v>100</v>
      </c>
    </row>
    <row r="150" spans="1:11" x14ac:dyDescent="0.3">
      <c r="A150" t="s">
        <v>773</v>
      </c>
      <c r="B150" t="s">
        <v>774</v>
      </c>
      <c r="C150">
        <v>122</v>
      </c>
      <c r="D150" t="s">
        <v>15</v>
      </c>
      <c r="E150" s="1">
        <v>45702</v>
      </c>
      <c r="F150">
        <v>7.8</v>
      </c>
      <c r="J150">
        <v>64</v>
      </c>
      <c r="K150">
        <v>85</v>
      </c>
    </row>
    <row r="151" spans="1:11" x14ac:dyDescent="0.3">
      <c r="A151" t="s">
        <v>214</v>
      </c>
      <c r="B151" t="s">
        <v>215</v>
      </c>
      <c r="C151">
        <v>79</v>
      </c>
      <c r="D151" t="s">
        <v>160</v>
      </c>
      <c r="E151" s="1">
        <v>44826</v>
      </c>
      <c r="F151">
        <v>7.8</v>
      </c>
      <c r="J151">
        <v>75</v>
      </c>
      <c r="K151">
        <v>98</v>
      </c>
    </row>
    <row r="152" spans="1:11" x14ac:dyDescent="0.3">
      <c r="A152" t="s">
        <v>210</v>
      </c>
      <c r="B152" t="s">
        <v>211</v>
      </c>
      <c r="C152">
        <v>117</v>
      </c>
      <c r="D152" t="s">
        <v>15</v>
      </c>
      <c r="E152" s="1">
        <v>45106</v>
      </c>
      <c r="F152">
        <v>7.7</v>
      </c>
      <c r="H152">
        <v>8</v>
      </c>
      <c r="J152">
        <v>73</v>
      </c>
      <c r="K152">
        <v>98</v>
      </c>
    </row>
    <row r="153" spans="1:11" x14ac:dyDescent="0.3">
      <c r="A153" t="s">
        <v>1078</v>
      </c>
      <c r="B153" t="s">
        <v>1079</v>
      </c>
      <c r="C153">
        <v>85</v>
      </c>
      <c r="D153" t="s">
        <v>15</v>
      </c>
      <c r="E153" s="1">
        <v>45443</v>
      </c>
      <c r="F153">
        <v>7.7</v>
      </c>
      <c r="H153">
        <v>7.7</v>
      </c>
      <c r="J153">
        <v>67</v>
      </c>
      <c r="K153">
        <v>76</v>
      </c>
    </row>
    <row r="154" spans="1:11" x14ac:dyDescent="0.3">
      <c r="A154" t="s">
        <v>248</v>
      </c>
      <c r="B154" t="s">
        <v>249</v>
      </c>
      <c r="C154">
        <v>127</v>
      </c>
      <c r="D154" t="s">
        <v>28</v>
      </c>
      <c r="E154" s="1">
        <v>45204</v>
      </c>
      <c r="F154">
        <v>7.7</v>
      </c>
      <c r="H154">
        <v>7.6829999999999998</v>
      </c>
      <c r="J154">
        <v>77</v>
      </c>
      <c r="K154">
        <v>97</v>
      </c>
    </row>
    <row r="155" spans="1:11" x14ac:dyDescent="0.3">
      <c r="A155" t="s">
        <v>168</v>
      </c>
      <c r="B155" t="s">
        <v>169</v>
      </c>
      <c r="C155">
        <v>103</v>
      </c>
      <c r="D155" t="s">
        <v>12</v>
      </c>
      <c r="E155" s="1">
        <v>45468</v>
      </c>
      <c r="F155">
        <v>7.7</v>
      </c>
      <c r="H155">
        <v>7.6619999999999999</v>
      </c>
      <c r="J155">
        <v>76</v>
      </c>
      <c r="K155">
        <v>100</v>
      </c>
    </row>
    <row r="156" spans="1:11" x14ac:dyDescent="0.3">
      <c r="A156" t="s">
        <v>509</v>
      </c>
      <c r="B156" t="s">
        <v>510</v>
      </c>
      <c r="C156">
        <v>197</v>
      </c>
      <c r="D156" t="s">
        <v>18</v>
      </c>
      <c r="E156" s="1">
        <v>45433</v>
      </c>
      <c r="F156">
        <v>7.7</v>
      </c>
      <c r="H156">
        <v>7.657</v>
      </c>
      <c r="J156">
        <v>88</v>
      </c>
      <c r="K156">
        <v>92</v>
      </c>
    </row>
    <row r="157" spans="1:11" x14ac:dyDescent="0.3">
      <c r="A157" t="s">
        <v>566</v>
      </c>
      <c r="B157" t="s">
        <v>567</v>
      </c>
      <c r="C157">
        <v>147</v>
      </c>
      <c r="D157" t="s">
        <v>18</v>
      </c>
      <c r="E157" s="1">
        <v>44909</v>
      </c>
      <c r="F157">
        <v>7.7</v>
      </c>
      <c r="H157">
        <v>7.6260000000000003</v>
      </c>
      <c r="J157">
        <v>78</v>
      </c>
      <c r="K157">
        <v>91</v>
      </c>
    </row>
    <row r="158" spans="1:11" x14ac:dyDescent="0.3">
      <c r="A158" t="s">
        <v>264</v>
      </c>
      <c r="B158" t="s">
        <v>265</v>
      </c>
      <c r="C158">
        <v>95</v>
      </c>
      <c r="D158" t="s">
        <v>15</v>
      </c>
      <c r="E158" s="1">
        <v>44694</v>
      </c>
      <c r="F158">
        <v>7.7</v>
      </c>
      <c r="H158">
        <v>7.5140000000000002</v>
      </c>
      <c r="J158">
        <v>89</v>
      </c>
      <c r="K158">
        <v>97</v>
      </c>
    </row>
    <row r="159" spans="1:11" x14ac:dyDescent="0.3">
      <c r="A159" t="s">
        <v>232</v>
      </c>
      <c r="B159" t="s">
        <v>233</v>
      </c>
      <c r="C159">
        <v>107</v>
      </c>
      <c r="D159" t="s">
        <v>28</v>
      </c>
      <c r="E159" s="1">
        <v>45506</v>
      </c>
      <c r="F159">
        <v>7.7</v>
      </c>
      <c r="J159">
        <v>83</v>
      </c>
      <c r="K159">
        <v>97</v>
      </c>
    </row>
    <row r="160" spans="1:11" x14ac:dyDescent="0.3">
      <c r="A160" t="s">
        <v>966</v>
      </c>
      <c r="B160" t="s">
        <v>967</v>
      </c>
      <c r="C160">
        <v>110</v>
      </c>
      <c r="D160" t="s">
        <v>28</v>
      </c>
      <c r="E160" s="1">
        <v>45814</v>
      </c>
      <c r="F160">
        <v>7.7</v>
      </c>
      <c r="J160">
        <v>64</v>
      </c>
      <c r="K160">
        <v>80</v>
      </c>
    </row>
    <row r="161" spans="1:11" x14ac:dyDescent="0.3">
      <c r="A161" t="s">
        <v>204</v>
      </c>
      <c r="B161" t="s">
        <v>205</v>
      </c>
      <c r="C161">
        <v>103</v>
      </c>
      <c r="D161" t="s">
        <v>15</v>
      </c>
      <c r="E161" s="1">
        <v>45450</v>
      </c>
      <c r="F161">
        <v>7.6</v>
      </c>
      <c r="H161">
        <v>8</v>
      </c>
      <c r="J161">
        <v>87</v>
      </c>
      <c r="K161">
        <v>98</v>
      </c>
    </row>
    <row r="162" spans="1:11" x14ac:dyDescent="0.3">
      <c r="A162" t="s">
        <v>622</v>
      </c>
      <c r="B162" t="s">
        <v>623</v>
      </c>
      <c r="C162">
        <v>104</v>
      </c>
      <c r="D162" t="s">
        <v>12</v>
      </c>
      <c r="E162" s="1">
        <v>45555</v>
      </c>
      <c r="F162">
        <v>7.6</v>
      </c>
      <c r="H162">
        <v>7.9740000000000002</v>
      </c>
      <c r="J162">
        <v>64</v>
      </c>
      <c r="K162">
        <v>89</v>
      </c>
    </row>
    <row r="163" spans="1:11" x14ac:dyDescent="0.3">
      <c r="A163" t="s">
        <v>1438</v>
      </c>
      <c r="B163" t="s">
        <v>1439</v>
      </c>
      <c r="C163">
        <v>131</v>
      </c>
      <c r="D163" t="s">
        <v>15</v>
      </c>
      <c r="E163" s="1">
        <v>45111</v>
      </c>
      <c r="F163">
        <v>7.6</v>
      </c>
      <c r="H163">
        <v>7.9560000000000004</v>
      </c>
      <c r="J163">
        <v>36</v>
      </c>
      <c r="K163">
        <v>58</v>
      </c>
    </row>
    <row r="164" spans="1:11" x14ac:dyDescent="0.3">
      <c r="A164" t="s">
        <v>29</v>
      </c>
      <c r="B164" t="s">
        <v>30</v>
      </c>
      <c r="C164">
        <v>122</v>
      </c>
      <c r="D164" t="s">
        <v>12</v>
      </c>
      <c r="E164" s="1">
        <v>45030</v>
      </c>
      <c r="F164">
        <v>7.6</v>
      </c>
      <c r="H164">
        <v>7.8869999999999996</v>
      </c>
      <c r="J164">
        <v>77</v>
      </c>
      <c r="K164">
        <v>96</v>
      </c>
    </row>
    <row r="165" spans="1:11" x14ac:dyDescent="0.3">
      <c r="A165" t="s">
        <v>316</v>
      </c>
      <c r="B165" t="s">
        <v>317</v>
      </c>
      <c r="C165">
        <v>140</v>
      </c>
      <c r="D165" t="s">
        <v>28</v>
      </c>
      <c r="E165" s="1">
        <v>44855</v>
      </c>
      <c r="F165">
        <v>7.6</v>
      </c>
      <c r="H165">
        <v>7.819</v>
      </c>
      <c r="J165">
        <v>78</v>
      </c>
      <c r="K165">
        <v>96</v>
      </c>
    </row>
    <row r="166" spans="1:11" x14ac:dyDescent="0.3">
      <c r="A166" t="s">
        <v>300</v>
      </c>
      <c r="B166" t="s">
        <v>301</v>
      </c>
      <c r="C166">
        <v>121</v>
      </c>
      <c r="D166" t="s">
        <v>18</v>
      </c>
      <c r="E166" s="1">
        <v>45176</v>
      </c>
      <c r="F166">
        <v>7.6</v>
      </c>
      <c r="H166">
        <v>7.798</v>
      </c>
      <c r="J166">
        <v>79</v>
      </c>
      <c r="K166">
        <v>96</v>
      </c>
    </row>
    <row r="167" spans="1:11" x14ac:dyDescent="0.3">
      <c r="A167" t="s">
        <v>308</v>
      </c>
      <c r="B167" t="s">
        <v>309</v>
      </c>
      <c r="C167">
        <v>102</v>
      </c>
      <c r="D167" t="s">
        <v>28</v>
      </c>
      <c r="E167" s="1">
        <v>44883</v>
      </c>
      <c r="F167">
        <v>7.6</v>
      </c>
      <c r="H167">
        <v>7.6840000000000002</v>
      </c>
      <c r="J167">
        <v>95</v>
      </c>
      <c r="K167">
        <v>96</v>
      </c>
    </row>
    <row r="168" spans="1:11" x14ac:dyDescent="0.3">
      <c r="A168" t="s">
        <v>216</v>
      </c>
      <c r="B168" t="s">
        <v>217</v>
      </c>
      <c r="C168">
        <v>90</v>
      </c>
      <c r="D168" t="s">
        <v>12</v>
      </c>
      <c r="E168" s="1">
        <v>44757</v>
      </c>
      <c r="F168">
        <v>7.6</v>
      </c>
      <c r="H168">
        <v>7.6429999999999998</v>
      </c>
      <c r="J168">
        <v>80</v>
      </c>
      <c r="K168">
        <v>98</v>
      </c>
    </row>
    <row r="169" spans="1:11" x14ac:dyDescent="0.3">
      <c r="A169" t="s">
        <v>616</v>
      </c>
      <c r="B169" t="s">
        <v>617</v>
      </c>
      <c r="C169">
        <v>135</v>
      </c>
      <c r="D169" t="s">
        <v>28</v>
      </c>
      <c r="E169" s="1">
        <v>45667</v>
      </c>
      <c r="F169">
        <v>7.6</v>
      </c>
      <c r="H169">
        <v>7.6230000000000002</v>
      </c>
      <c r="J169">
        <v>77</v>
      </c>
      <c r="K169">
        <v>89</v>
      </c>
    </row>
    <row r="170" spans="1:11" x14ac:dyDescent="0.3">
      <c r="A170" t="s">
        <v>212</v>
      </c>
      <c r="B170" t="s">
        <v>213</v>
      </c>
      <c r="C170">
        <v>98</v>
      </c>
      <c r="D170" t="s">
        <v>12</v>
      </c>
      <c r="E170" s="1">
        <v>44876</v>
      </c>
      <c r="F170">
        <v>7.6</v>
      </c>
      <c r="H170">
        <v>7.5549999999999997</v>
      </c>
      <c r="J170">
        <v>84</v>
      </c>
      <c r="K170">
        <v>98</v>
      </c>
    </row>
    <row r="171" spans="1:11" x14ac:dyDescent="0.3">
      <c r="A171" t="s">
        <v>946</v>
      </c>
      <c r="B171" t="s">
        <v>947</v>
      </c>
      <c r="C171">
        <v>81</v>
      </c>
      <c r="D171" t="s">
        <v>862</v>
      </c>
      <c r="E171" s="1">
        <v>45420</v>
      </c>
      <c r="F171">
        <v>7.6</v>
      </c>
      <c r="H171">
        <v>7.5419999999999998</v>
      </c>
      <c r="J171">
        <v>72</v>
      </c>
      <c r="K171">
        <v>81</v>
      </c>
    </row>
    <row r="172" spans="1:11" x14ac:dyDescent="0.3">
      <c r="A172" t="s">
        <v>220</v>
      </c>
      <c r="B172" t="s">
        <v>221</v>
      </c>
      <c r="C172">
        <v>167</v>
      </c>
      <c r="D172" t="s">
        <v>15</v>
      </c>
      <c r="E172" s="1">
        <v>45706</v>
      </c>
      <c r="F172">
        <v>7.6</v>
      </c>
      <c r="H172">
        <v>7.5369999999999999</v>
      </c>
      <c r="J172">
        <v>84</v>
      </c>
      <c r="K172">
        <v>97</v>
      </c>
    </row>
    <row r="173" spans="1:11" x14ac:dyDescent="0.3">
      <c r="A173" t="s">
        <v>1392</v>
      </c>
      <c r="B173" t="s">
        <v>1393</v>
      </c>
      <c r="C173">
        <v>114</v>
      </c>
      <c r="D173" t="s">
        <v>28</v>
      </c>
      <c r="E173" s="1">
        <v>45212</v>
      </c>
      <c r="F173">
        <v>7.6</v>
      </c>
      <c r="H173">
        <v>7.5129999999999999</v>
      </c>
      <c r="J173">
        <v>61</v>
      </c>
      <c r="K173">
        <v>61</v>
      </c>
    </row>
    <row r="174" spans="1:11" x14ac:dyDescent="0.3">
      <c r="A174" t="s">
        <v>633</v>
      </c>
      <c r="B174" t="s">
        <v>634</v>
      </c>
      <c r="C174">
        <v>132</v>
      </c>
      <c r="D174" t="s">
        <v>28</v>
      </c>
      <c r="E174" s="1">
        <v>45282</v>
      </c>
      <c r="F174">
        <v>7.6</v>
      </c>
      <c r="H174">
        <v>7.5069999999999997</v>
      </c>
      <c r="J174">
        <v>73</v>
      </c>
      <c r="K174">
        <v>89</v>
      </c>
    </row>
    <row r="175" spans="1:11" x14ac:dyDescent="0.3">
      <c r="A175" t="s">
        <v>687</v>
      </c>
      <c r="B175" t="s">
        <v>688</v>
      </c>
      <c r="C175">
        <v>118</v>
      </c>
      <c r="D175" t="s">
        <v>15</v>
      </c>
      <c r="E175" s="1">
        <v>44757</v>
      </c>
      <c r="F175">
        <v>7.6</v>
      </c>
      <c r="J175">
        <v>70</v>
      </c>
      <c r="K175">
        <v>88</v>
      </c>
    </row>
    <row r="176" spans="1:11" x14ac:dyDescent="0.3">
      <c r="A176" t="s">
        <v>523</v>
      </c>
      <c r="B176" t="s">
        <v>524</v>
      </c>
      <c r="C176">
        <v>135</v>
      </c>
      <c r="D176" t="s">
        <v>15</v>
      </c>
      <c r="E176" s="1">
        <v>45045</v>
      </c>
      <c r="F176">
        <v>7.6</v>
      </c>
      <c r="J176">
        <v>83</v>
      </c>
      <c r="K176">
        <v>92</v>
      </c>
    </row>
    <row r="177" spans="1:11" x14ac:dyDescent="0.3">
      <c r="A177" t="s">
        <v>290</v>
      </c>
      <c r="B177" t="s">
        <v>291</v>
      </c>
      <c r="C177">
        <v>105</v>
      </c>
      <c r="D177" t="s">
        <v>28</v>
      </c>
      <c r="E177" s="1">
        <v>45282</v>
      </c>
      <c r="F177">
        <v>7.6</v>
      </c>
      <c r="J177">
        <v>90</v>
      </c>
      <c r="K177">
        <v>96</v>
      </c>
    </row>
    <row r="178" spans="1:11" x14ac:dyDescent="0.3">
      <c r="A178" t="s">
        <v>280</v>
      </c>
      <c r="B178" t="s">
        <v>281</v>
      </c>
      <c r="C178">
        <v>105</v>
      </c>
      <c r="D178" t="s">
        <v>28</v>
      </c>
      <c r="E178" s="1">
        <v>45506</v>
      </c>
      <c r="F178">
        <v>7.6</v>
      </c>
      <c r="J178">
        <v>76</v>
      </c>
      <c r="K178">
        <v>96</v>
      </c>
    </row>
    <row r="179" spans="1:11" x14ac:dyDescent="0.3">
      <c r="A179" t="s">
        <v>188</v>
      </c>
      <c r="B179" t="s">
        <v>189</v>
      </c>
      <c r="C179">
        <v>115</v>
      </c>
      <c r="D179" t="s">
        <v>28</v>
      </c>
      <c r="E179" s="1">
        <v>45457</v>
      </c>
      <c r="F179">
        <v>7.6</v>
      </c>
      <c r="J179">
        <v>83</v>
      </c>
      <c r="K179">
        <v>99</v>
      </c>
    </row>
    <row r="180" spans="1:11" x14ac:dyDescent="0.3">
      <c r="A180" t="s">
        <v>320</v>
      </c>
      <c r="B180" t="s">
        <v>321</v>
      </c>
      <c r="C180">
        <v>95</v>
      </c>
      <c r="D180" t="s">
        <v>15</v>
      </c>
      <c r="E180" s="1">
        <v>44711</v>
      </c>
      <c r="F180">
        <v>7.6</v>
      </c>
      <c r="J180">
        <v>69</v>
      </c>
      <c r="K180">
        <v>96</v>
      </c>
    </row>
    <row r="181" spans="1:11" x14ac:dyDescent="0.3">
      <c r="A181" t="s">
        <v>519</v>
      </c>
      <c r="B181" t="s">
        <v>520</v>
      </c>
      <c r="C181">
        <v>101</v>
      </c>
      <c r="D181" t="s">
        <v>12</v>
      </c>
      <c r="E181" s="1">
        <v>45107</v>
      </c>
      <c r="F181">
        <v>7.5</v>
      </c>
      <c r="H181">
        <v>7.9</v>
      </c>
      <c r="J181">
        <v>75</v>
      </c>
      <c r="K181">
        <v>92</v>
      </c>
    </row>
    <row r="182" spans="1:11" x14ac:dyDescent="0.3">
      <c r="A182" t="s">
        <v>665</v>
      </c>
      <c r="B182" t="s">
        <v>666</v>
      </c>
      <c r="C182">
        <v>129</v>
      </c>
      <c r="D182" t="s">
        <v>12</v>
      </c>
      <c r="E182" s="1">
        <v>45492</v>
      </c>
      <c r="F182">
        <v>7.5</v>
      </c>
      <c r="H182">
        <v>7.8639999999999999</v>
      </c>
      <c r="J182">
        <v>62</v>
      </c>
      <c r="K182">
        <v>88</v>
      </c>
    </row>
    <row r="183" spans="1:11" x14ac:dyDescent="0.3">
      <c r="A183" t="s">
        <v>541</v>
      </c>
      <c r="B183" t="s">
        <v>542</v>
      </c>
      <c r="C183">
        <v>109</v>
      </c>
      <c r="D183" t="s">
        <v>12</v>
      </c>
      <c r="E183" s="1">
        <v>45509</v>
      </c>
      <c r="F183">
        <v>7.5</v>
      </c>
      <c r="H183">
        <v>7.766</v>
      </c>
      <c r="J183">
        <v>69</v>
      </c>
      <c r="K183">
        <v>91</v>
      </c>
    </row>
    <row r="184" spans="1:11" x14ac:dyDescent="0.3">
      <c r="A184" t="s">
        <v>500</v>
      </c>
      <c r="B184" t="s">
        <v>501</v>
      </c>
      <c r="C184">
        <v>123</v>
      </c>
      <c r="D184" t="s">
        <v>25</v>
      </c>
      <c r="E184" s="1">
        <v>45681</v>
      </c>
      <c r="F184">
        <v>7.5</v>
      </c>
      <c r="H184">
        <v>7.5880000000000001</v>
      </c>
      <c r="J184">
        <v>82</v>
      </c>
      <c r="K184">
        <v>92</v>
      </c>
    </row>
    <row r="185" spans="1:11" x14ac:dyDescent="0.3">
      <c r="A185" t="s">
        <v>527</v>
      </c>
      <c r="B185" t="s">
        <v>528</v>
      </c>
      <c r="C185">
        <v>151</v>
      </c>
      <c r="D185" t="s">
        <v>15</v>
      </c>
      <c r="E185" s="1">
        <v>44888</v>
      </c>
      <c r="F185">
        <v>7.5</v>
      </c>
      <c r="H185">
        <v>7.5720000000000001</v>
      </c>
      <c r="J185">
        <v>85</v>
      </c>
      <c r="K185">
        <v>92</v>
      </c>
    </row>
    <row r="186" spans="1:11" x14ac:dyDescent="0.3">
      <c r="A186" t="s">
        <v>152</v>
      </c>
      <c r="B186" t="s">
        <v>153</v>
      </c>
      <c r="C186">
        <v>82</v>
      </c>
      <c r="D186" t="s">
        <v>12</v>
      </c>
      <c r="E186" s="1">
        <v>45660</v>
      </c>
      <c r="F186">
        <v>7.5</v>
      </c>
      <c r="J186">
        <v>83</v>
      </c>
      <c r="K186">
        <v>100</v>
      </c>
    </row>
    <row r="187" spans="1:11" x14ac:dyDescent="0.3">
      <c r="A187" t="s">
        <v>170</v>
      </c>
      <c r="B187" t="s">
        <v>171</v>
      </c>
      <c r="C187">
        <v>88</v>
      </c>
      <c r="D187" t="s">
        <v>18</v>
      </c>
      <c r="E187" s="1">
        <v>45415</v>
      </c>
      <c r="F187">
        <v>7.5</v>
      </c>
      <c r="J187">
        <v>76</v>
      </c>
      <c r="K187">
        <v>100</v>
      </c>
    </row>
    <row r="188" spans="1:11" x14ac:dyDescent="0.3">
      <c r="A188" t="s">
        <v>462</v>
      </c>
      <c r="B188" t="s">
        <v>463</v>
      </c>
      <c r="C188">
        <v>117</v>
      </c>
      <c r="D188" t="s">
        <v>28</v>
      </c>
      <c r="E188" s="1">
        <v>45282</v>
      </c>
      <c r="F188">
        <v>7.5</v>
      </c>
      <c r="J188">
        <v>81</v>
      </c>
      <c r="K188">
        <v>93</v>
      </c>
    </row>
    <row r="189" spans="1:11" x14ac:dyDescent="0.3">
      <c r="A189" t="s">
        <v>268</v>
      </c>
      <c r="B189" t="s">
        <v>269</v>
      </c>
      <c r="C189">
        <v>116</v>
      </c>
      <c r="D189" t="s">
        <v>25</v>
      </c>
      <c r="E189" s="1">
        <v>44687</v>
      </c>
      <c r="F189">
        <v>7.5</v>
      </c>
      <c r="J189">
        <v>89</v>
      </c>
      <c r="K189">
        <v>97</v>
      </c>
    </row>
    <row r="190" spans="1:11" x14ac:dyDescent="0.3">
      <c r="A190" t="s">
        <v>362</v>
      </c>
      <c r="B190" t="s">
        <v>363</v>
      </c>
      <c r="C190">
        <v>113</v>
      </c>
      <c r="D190" t="s">
        <v>25</v>
      </c>
      <c r="E190" s="1">
        <v>44985</v>
      </c>
      <c r="F190">
        <v>7.5</v>
      </c>
      <c r="J190">
        <v>91</v>
      </c>
      <c r="K190">
        <v>95</v>
      </c>
    </row>
    <row r="191" spans="1:11" x14ac:dyDescent="0.3">
      <c r="A191" t="s">
        <v>586</v>
      </c>
      <c r="B191" t="s">
        <v>587</v>
      </c>
      <c r="C191">
        <v>105</v>
      </c>
      <c r="D191" t="s">
        <v>28</v>
      </c>
      <c r="E191" s="1">
        <v>45477</v>
      </c>
      <c r="F191">
        <v>7.5</v>
      </c>
      <c r="J191">
        <v>74</v>
      </c>
      <c r="K191">
        <v>90</v>
      </c>
    </row>
    <row r="192" spans="1:11" x14ac:dyDescent="0.3">
      <c r="A192" t="s">
        <v>442</v>
      </c>
      <c r="B192" t="s">
        <v>443</v>
      </c>
      <c r="C192">
        <v>216</v>
      </c>
      <c r="D192" t="s">
        <v>28</v>
      </c>
      <c r="E192" s="1">
        <v>45681</v>
      </c>
      <c r="F192">
        <v>7.5</v>
      </c>
      <c r="J192">
        <v>90</v>
      </c>
      <c r="K192">
        <v>93</v>
      </c>
    </row>
    <row r="193" spans="1:11" x14ac:dyDescent="0.3">
      <c r="A193" t="s">
        <v>258</v>
      </c>
      <c r="B193" t="s">
        <v>259</v>
      </c>
      <c r="C193">
        <v>85</v>
      </c>
      <c r="D193" t="s">
        <v>12</v>
      </c>
      <c r="E193" s="1">
        <v>44897</v>
      </c>
      <c r="F193">
        <v>7.5</v>
      </c>
      <c r="J193">
        <v>83</v>
      </c>
      <c r="K193">
        <v>97</v>
      </c>
    </row>
    <row r="194" spans="1:11" x14ac:dyDescent="0.3">
      <c r="A194" t="s">
        <v>172</v>
      </c>
      <c r="B194" t="s">
        <v>173</v>
      </c>
      <c r="C194">
        <v>118</v>
      </c>
      <c r="D194" t="s">
        <v>28</v>
      </c>
      <c r="E194" s="1">
        <v>45303</v>
      </c>
      <c r="F194">
        <v>7.5</v>
      </c>
      <c r="J194">
        <v>83</v>
      </c>
      <c r="K194">
        <v>100</v>
      </c>
    </row>
    <row r="195" spans="1:11" x14ac:dyDescent="0.3">
      <c r="A195" t="s">
        <v>158</v>
      </c>
      <c r="B195" t="s">
        <v>159</v>
      </c>
      <c r="C195">
        <v>102</v>
      </c>
      <c r="D195" t="s">
        <v>160</v>
      </c>
      <c r="E195" s="1">
        <v>45618</v>
      </c>
      <c r="H195">
        <v>7.8</v>
      </c>
      <c r="J195">
        <v>73</v>
      </c>
      <c r="K195">
        <v>100</v>
      </c>
    </row>
    <row r="196" spans="1:11" x14ac:dyDescent="0.3">
      <c r="A196" t="s">
        <v>832</v>
      </c>
      <c r="B196" t="s">
        <v>833</v>
      </c>
      <c r="C196">
        <v>118</v>
      </c>
      <c r="D196" t="s">
        <v>12</v>
      </c>
      <c r="E196" s="1">
        <v>45345</v>
      </c>
      <c r="H196">
        <v>7.6849999999999996</v>
      </c>
      <c r="J196">
        <v>57</v>
      </c>
      <c r="K196">
        <v>84</v>
      </c>
    </row>
    <row r="197" spans="1:11" x14ac:dyDescent="0.3">
      <c r="A197" t="s">
        <v>958</v>
      </c>
      <c r="B197" t="s">
        <v>959</v>
      </c>
      <c r="C197">
        <v>118</v>
      </c>
      <c r="D197" t="s">
        <v>28</v>
      </c>
      <c r="E197" s="1">
        <v>45016</v>
      </c>
      <c r="H197">
        <v>7.6340000000000003</v>
      </c>
      <c r="J197">
        <v>61</v>
      </c>
      <c r="K197">
        <v>81</v>
      </c>
    </row>
    <row r="198" spans="1:11" x14ac:dyDescent="0.3">
      <c r="A198" t="s">
        <v>938</v>
      </c>
      <c r="B198" t="s">
        <v>939</v>
      </c>
      <c r="C198">
        <v>120</v>
      </c>
      <c r="D198" t="s">
        <v>12</v>
      </c>
      <c r="E198" s="1">
        <v>45723</v>
      </c>
      <c r="H198">
        <v>7.6</v>
      </c>
      <c r="J198">
        <v>55</v>
      </c>
      <c r="K198">
        <v>81</v>
      </c>
    </row>
    <row r="199" spans="1:11" x14ac:dyDescent="0.3">
      <c r="A199" t="s">
        <v>304</v>
      </c>
      <c r="B199" t="s">
        <v>305</v>
      </c>
      <c r="C199">
        <v>107</v>
      </c>
      <c r="D199" t="s">
        <v>18</v>
      </c>
      <c r="E199" s="1">
        <v>45112</v>
      </c>
      <c r="J199">
        <v>80</v>
      </c>
      <c r="K199">
        <v>96</v>
      </c>
    </row>
    <row r="200" spans="1:11" x14ac:dyDescent="0.3">
      <c r="A200" t="s">
        <v>924</v>
      </c>
      <c r="B200" t="s">
        <v>925</v>
      </c>
      <c r="C200">
        <v>134</v>
      </c>
      <c r="D200" t="s">
        <v>15</v>
      </c>
      <c r="E200" s="1">
        <v>44888</v>
      </c>
      <c r="J200">
        <v>62</v>
      </c>
      <c r="K200">
        <v>82</v>
      </c>
    </row>
    <row r="201" spans="1:11" x14ac:dyDescent="0.3">
      <c r="A201" t="s">
        <v>294</v>
      </c>
      <c r="B201" t="s">
        <v>295</v>
      </c>
      <c r="C201">
        <v>124</v>
      </c>
      <c r="D201" t="s">
        <v>15</v>
      </c>
      <c r="E201" s="1">
        <v>45268</v>
      </c>
      <c r="J201">
        <v>91</v>
      </c>
      <c r="K201">
        <v>96</v>
      </c>
    </row>
    <row r="202" spans="1:11" x14ac:dyDescent="0.3">
      <c r="A202" t="s">
        <v>458</v>
      </c>
      <c r="B202" t="s">
        <v>459</v>
      </c>
      <c r="C202">
        <v>121</v>
      </c>
      <c r="D202" t="s">
        <v>28</v>
      </c>
      <c r="E202" s="1">
        <v>45534</v>
      </c>
      <c r="J202">
        <v>74</v>
      </c>
      <c r="K202">
        <v>93</v>
      </c>
    </row>
    <row r="203" spans="1:11" x14ac:dyDescent="0.3">
      <c r="A203" t="s">
        <v>358</v>
      </c>
      <c r="B203" t="s">
        <v>359</v>
      </c>
      <c r="C203">
        <v>98</v>
      </c>
      <c r="D203" t="s">
        <v>15</v>
      </c>
      <c r="E203" s="1">
        <v>45050</v>
      </c>
      <c r="J203">
        <v>82</v>
      </c>
      <c r="K203">
        <v>95</v>
      </c>
    </row>
    <row r="204" spans="1:11" x14ac:dyDescent="0.3">
      <c r="A204" t="s">
        <v>717</v>
      </c>
      <c r="B204" t="s">
        <v>718</v>
      </c>
      <c r="C204">
        <v>124</v>
      </c>
      <c r="D204" t="s">
        <v>12</v>
      </c>
      <c r="E204" s="1">
        <v>44701</v>
      </c>
      <c r="J204">
        <v>63</v>
      </c>
      <c r="K204">
        <v>87</v>
      </c>
    </row>
    <row r="205" spans="1:11" x14ac:dyDescent="0.3">
      <c r="A205" t="s">
        <v>43</v>
      </c>
      <c r="B205" t="s">
        <v>44</v>
      </c>
      <c r="C205">
        <v>158</v>
      </c>
      <c r="D205" t="s">
        <v>28</v>
      </c>
      <c r="E205" s="1">
        <v>44862</v>
      </c>
      <c r="J205">
        <v>93</v>
      </c>
      <c r="K205">
        <v>91</v>
      </c>
    </row>
    <row r="206" spans="1:11" x14ac:dyDescent="0.3">
      <c r="A206" t="s">
        <v>240</v>
      </c>
      <c r="B206" t="s">
        <v>241</v>
      </c>
      <c r="C206">
        <v>135</v>
      </c>
      <c r="D206" t="s">
        <v>15</v>
      </c>
      <c r="E206" s="1">
        <v>45331</v>
      </c>
      <c r="J206">
        <v>85</v>
      </c>
      <c r="K206">
        <v>97</v>
      </c>
    </row>
    <row r="207" spans="1:11" x14ac:dyDescent="0.3">
      <c r="A207" t="s">
        <v>266</v>
      </c>
      <c r="B207" t="s">
        <v>267</v>
      </c>
      <c r="C207">
        <v>73</v>
      </c>
      <c r="D207" t="s">
        <v>12</v>
      </c>
      <c r="E207" s="1">
        <v>44687</v>
      </c>
      <c r="J207">
        <v>93</v>
      </c>
      <c r="K207">
        <v>97</v>
      </c>
    </row>
    <row r="208" spans="1:11" x14ac:dyDescent="0.3">
      <c r="A208" t="s">
        <v>888</v>
      </c>
      <c r="B208" t="s">
        <v>889</v>
      </c>
      <c r="C208">
        <v>141</v>
      </c>
      <c r="D208" t="s">
        <v>28</v>
      </c>
      <c r="E208" s="1">
        <v>45651</v>
      </c>
      <c r="J208">
        <v>70</v>
      </c>
      <c r="K208">
        <v>82</v>
      </c>
    </row>
    <row r="209" spans="1:11" x14ac:dyDescent="0.3">
      <c r="A209" t="s">
        <v>408</v>
      </c>
      <c r="B209" t="s">
        <v>409</v>
      </c>
      <c r="C209">
        <v>101</v>
      </c>
      <c r="D209" t="s">
        <v>63</v>
      </c>
      <c r="E209" s="1">
        <v>45050</v>
      </c>
      <c r="J209">
        <v>81</v>
      </c>
      <c r="K209">
        <v>94</v>
      </c>
    </row>
    <row r="210" spans="1:11" x14ac:dyDescent="0.3">
      <c r="A210" t="s">
        <v>1072</v>
      </c>
      <c r="B210" t="s">
        <v>1073</v>
      </c>
      <c r="C210">
        <v>121</v>
      </c>
      <c r="D210" t="s">
        <v>15</v>
      </c>
      <c r="E210" s="1">
        <v>45569</v>
      </c>
      <c r="H210">
        <v>7.8250000000000002</v>
      </c>
      <c r="J210">
        <v>54</v>
      </c>
      <c r="K210">
        <v>76</v>
      </c>
    </row>
    <row r="211" spans="1:11" x14ac:dyDescent="0.3">
      <c r="A211" t="s">
        <v>594</v>
      </c>
      <c r="B211" t="s">
        <v>595</v>
      </c>
      <c r="C211">
        <v>142</v>
      </c>
      <c r="D211" t="s">
        <v>15</v>
      </c>
      <c r="E211" s="1">
        <v>45359</v>
      </c>
      <c r="H211">
        <v>7.7770000000000001</v>
      </c>
      <c r="J211">
        <v>51</v>
      </c>
      <c r="K211">
        <v>90</v>
      </c>
    </row>
    <row r="212" spans="1:11" x14ac:dyDescent="0.3">
      <c r="A212" t="s">
        <v>344</v>
      </c>
      <c r="B212" t="s">
        <v>345</v>
      </c>
      <c r="C212">
        <v>131</v>
      </c>
      <c r="D212" t="s">
        <v>18</v>
      </c>
      <c r="E212" s="1">
        <v>45380</v>
      </c>
      <c r="J212">
        <v>91</v>
      </c>
      <c r="K212">
        <v>95</v>
      </c>
    </row>
    <row r="213" spans="1:11" x14ac:dyDescent="0.3">
      <c r="A213" t="s">
        <v>26</v>
      </c>
      <c r="B213" t="s">
        <v>27</v>
      </c>
      <c r="C213">
        <v>93</v>
      </c>
      <c r="D213" t="s">
        <v>28</v>
      </c>
      <c r="E213" s="1">
        <v>45520</v>
      </c>
      <c r="J213">
        <v>78</v>
      </c>
      <c r="K213">
        <v>96</v>
      </c>
    </row>
    <row r="214" spans="1:11" x14ac:dyDescent="0.3">
      <c r="A214" t="s">
        <v>1118</v>
      </c>
      <c r="B214" t="s">
        <v>1119</v>
      </c>
      <c r="C214">
        <v>130</v>
      </c>
      <c r="D214" t="s">
        <v>12</v>
      </c>
      <c r="E214" s="1">
        <v>45238</v>
      </c>
      <c r="J214">
        <v>35</v>
      </c>
      <c r="K214">
        <v>75</v>
      </c>
    </row>
    <row r="215" spans="1:11" x14ac:dyDescent="0.3">
      <c r="A215" t="s">
        <v>681</v>
      </c>
      <c r="B215" t="s">
        <v>682</v>
      </c>
      <c r="C215">
        <v>129</v>
      </c>
      <c r="D215" t="s">
        <v>28</v>
      </c>
      <c r="E215" s="1">
        <v>44883</v>
      </c>
      <c r="J215">
        <v>74</v>
      </c>
      <c r="K215">
        <v>88</v>
      </c>
    </row>
    <row r="216" spans="1:11" x14ac:dyDescent="0.3">
      <c r="A216" t="s">
        <v>194</v>
      </c>
      <c r="B216" t="s">
        <v>195</v>
      </c>
      <c r="C216">
        <v>106</v>
      </c>
      <c r="D216" t="s">
        <v>15</v>
      </c>
      <c r="E216" s="1">
        <v>45044</v>
      </c>
      <c r="J216">
        <v>84</v>
      </c>
      <c r="K216">
        <v>99</v>
      </c>
    </row>
    <row r="217" spans="1:11" x14ac:dyDescent="0.3">
      <c r="A217" t="s">
        <v>244</v>
      </c>
      <c r="B217" t="s">
        <v>245</v>
      </c>
      <c r="C217">
        <v>120</v>
      </c>
      <c r="D217" t="s">
        <v>28</v>
      </c>
      <c r="E217" s="1">
        <v>45243</v>
      </c>
      <c r="J217">
        <v>78</v>
      </c>
      <c r="K217">
        <v>97</v>
      </c>
    </row>
    <row r="218" spans="1:11" x14ac:dyDescent="0.3">
      <c r="A218" t="s">
        <v>816</v>
      </c>
      <c r="B218" t="s">
        <v>817</v>
      </c>
      <c r="C218">
        <v>107</v>
      </c>
      <c r="D218" t="s">
        <v>28</v>
      </c>
      <c r="E218" s="1">
        <v>44729</v>
      </c>
      <c r="J218">
        <v>69</v>
      </c>
      <c r="K218">
        <v>85</v>
      </c>
    </row>
    <row r="219" spans="1:11" x14ac:dyDescent="0.3">
      <c r="A219" t="s">
        <v>252</v>
      </c>
      <c r="B219" t="s">
        <v>253</v>
      </c>
      <c r="C219">
        <v>81</v>
      </c>
      <c r="D219" t="s">
        <v>25</v>
      </c>
      <c r="E219" s="1">
        <v>45183</v>
      </c>
      <c r="J219">
        <v>86</v>
      </c>
      <c r="K219">
        <v>97</v>
      </c>
    </row>
    <row r="220" spans="1:11" x14ac:dyDescent="0.3">
      <c r="A220" t="s">
        <v>390</v>
      </c>
      <c r="B220" t="s">
        <v>391</v>
      </c>
      <c r="C220">
        <v>110</v>
      </c>
      <c r="D220" t="s">
        <v>15</v>
      </c>
      <c r="E220" s="1">
        <v>45401</v>
      </c>
      <c r="J220">
        <v>68</v>
      </c>
      <c r="K220">
        <v>94</v>
      </c>
    </row>
    <row r="221" spans="1:11" x14ac:dyDescent="0.3">
      <c r="A221" t="s">
        <v>460</v>
      </c>
      <c r="B221" t="s">
        <v>461</v>
      </c>
      <c r="C221">
        <v>105</v>
      </c>
      <c r="D221" t="s">
        <v>15</v>
      </c>
      <c r="E221" s="1">
        <v>45342</v>
      </c>
      <c r="J221">
        <v>92</v>
      </c>
      <c r="K221">
        <v>93</v>
      </c>
    </row>
    <row r="222" spans="1:11" x14ac:dyDescent="0.3">
      <c r="A222" t="s">
        <v>10</v>
      </c>
      <c r="B222" t="s">
        <v>11</v>
      </c>
      <c r="C222">
        <v>69</v>
      </c>
      <c r="D222" t="s">
        <v>12</v>
      </c>
      <c r="E222" s="1">
        <v>44658</v>
      </c>
      <c r="J222">
        <v>88</v>
      </c>
      <c r="K222">
        <v>100</v>
      </c>
    </row>
    <row r="223" spans="1:11" x14ac:dyDescent="0.3">
      <c r="A223" t="s">
        <v>705</v>
      </c>
      <c r="B223" t="s">
        <v>706</v>
      </c>
      <c r="C223">
        <v>112</v>
      </c>
      <c r="D223" t="s">
        <v>15</v>
      </c>
      <c r="E223" s="1">
        <v>44904</v>
      </c>
      <c r="J223">
        <v>61</v>
      </c>
      <c r="K223">
        <v>87</v>
      </c>
    </row>
    <row r="224" spans="1:11" x14ac:dyDescent="0.3">
      <c r="A224" t="s">
        <v>860</v>
      </c>
      <c r="B224" t="s">
        <v>861</v>
      </c>
      <c r="C224">
        <v>93</v>
      </c>
      <c r="D224" t="s">
        <v>862</v>
      </c>
      <c r="E224" s="1">
        <v>45435</v>
      </c>
      <c r="J224">
        <v>66</v>
      </c>
      <c r="K224">
        <v>83</v>
      </c>
    </row>
    <row r="225" spans="1:11" x14ac:dyDescent="0.3">
      <c r="A225" t="s">
        <v>332</v>
      </c>
      <c r="B225" t="s">
        <v>333</v>
      </c>
      <c r="C225">
        <v>97</v>
      </c>
      <c r="D225" t="s">
        <v>28</v>
      </c>
      <c r="E225" s="1">
        <v>45667</v>
      </c>
      <c r="J225">
        <v>88</v>
      </c>
      <c r="K225">
        <v>95</v>
      </c>
    </row>
    <row r="226" spans="1:11" x14ac:dyDescent="0.3">
      <c r="A226" t="s">
        <v>272</v>
      </c>
      <c r="B226" t="s">
        <v>273</v>
      </c>
      <c r="C226">
        <v>93</v>
      </c>
      <c r="D226" t="s">
        <v>28</v>
      </c>
      <c r="E226" s="1">
        <v>45730</v>
      </c>
      <c r="J226">
        <v>85</v>
      </c>
      <c r="K226">
        <v>96</v>
      </c>
    </row>
    <row r="227" spans="1:11" x14ac:dyDescent="0.3">
      <c r="A227" t="s">
        <v>156</v>
      </c>
      <c r="B227" t="s">
        <v>157</v>
      </c>
      <c r="C227">
        <v>99</v>
      </c>
      <c r="D227" t="s">
        <v>15</v>
      </c>
      <c r="E227" s="1">
        <v>45632</v>
      </c>
      <c r="H227">
        <v>7.5590000000000002</v>
      </c>
      <c r="J227">
        <v>87</v>
      </c>
      <c r="K227">
        <v>100</v>
      </c>
    </row>
    <row r="228" spans="1:11" x14ac:dyDescent="0.3">
      <c r="A228" t="s">
        <v>314</v>
      </c>
      <c r="B228" t="s">
        <v>315</v>
      </c>
      <c r="C228">
        <v>130</v>
      </c>
      <c r="D228" t="s">
        <v>15</v>
      </c>
      <c r="E228" s="1">
        <v>44862</v>
      </c>
      <c r="J228">
        <v>77</v>
      </c>
      <c r="K228">
        <v>96</v>
      </c>
    </row>
    <row r="229" spans="1:11" x14ac:dyDescent="0.3">
      <c r="A229" t="s">
        <v>350</v>
      </c>
      <c r="B229" t="s">
        <v>351</v>
      </c>
      <c r="C229">
        <v>99</v>
      </c>
      <c r="D229" t="s">
        <v>12</v>
      </c>
      <c r="E229" s="1">
        <v>45140</v>
      </c>
      <c r="J229">
        <v>74</v>
      </c>
      <c r="K229">
        <v>95</v>
      </c>
    </row>
    <row r="230" spans="1:11" x14ac:dyDescent="0.3">
      <c r="A230" t="s">
        <v>771</v>
      </c>
      <c r="B230" t="s">
        <v>772</v>
      </c>
      <c r="C230">
        <v>105</v>
      </c>
      <c r="D230" t="s">
        <v>28</v>
      </c>
      <c r="E230" s="1">
        <v>44638</v>
      </c>
      <c r="J230">
        <v>69</v>
      </c>
      <c r="K230">
        <v>86</v>
      </c>
    </row>
    <row r="231" spans="1:11" x14ac:dyDescent="0.3">
      <c r="A231" t="s">
        <v>47</v>
      </c>
      <c r="B231" t="s">
        <v>48</v>
      </c>
      <c r="C231">
        <v>97</v>
      </c>
      <c r="D231" t="s">
        <v>15</v>
      </c>
      <c r="E231" s="1">
        <v>44652</v>
      </c>
      <c r="J231">
        <v>79</v>
      </c>
      <c r="K231">
        <v>91</v>
      </c>
    </row>
    <row r="232" spans="1:11" x14ac:dyDescent="0.3">
      <c r="A232" t="s">
        <v>312</v>
      </c>
      <c r="B232" t="s">
        <v>313</v>
      </c>
      <c r="C232">
        <v>102</v>
      </c>
      <c r="D232" t="s">
        <v>15</v>
      </c>
      <c r="E232" s="1">
        <v>44869</v>
      </c>
      <c r="J232">
        <v>81</v>
      </c>
      <c r="K232">
        <v>96</v>
      </c>
    </row>
    <row r="233" spans="1:11" x14ac:dyDescent="0.3">
      <c r="A233" t="s">
        <v>424</v>
      </c>
      <c r="B233" t="s">
        <v>425</v>
      </c>
      <c r="C233">
        <v>97</v>
      </c>
      <c r="D233" t="s">
        <v>28</v>
      </c>
      <c r="E233" s="1">
        <v>44729</v>
      </c>
      <c r="J233">
        <v>78</v>
      </c>
      <c r="K233">
        <v>94</v>
      </c>
    </row>
    <row r="234" spans="1:11" x14ac:dyDescent="0.3">
      <c r="A234" t="s">
        <v>254</v>
      </c>
      <c r="B234" t="s">
        <v>255</v>
      </c>
      <c r="C234">
        <v>125</v>
      </c>
      <c r="D234" t="s">
        <v>25</v>
      </c>
      <c r="E234" s="1">
        <v>45023</v>
      </c>
      <c r="J234">
        <v>81</v>
      </c>
      <c r="K234">
        <v>97</v>
      </c>
    </row>
    <row r="235" spans="1:11" x14ac:dyDescent="0.3">
      <c r="A235" t="s">
        <v>1172</v>
      </c>
      <c r="B235" t="s">
        <v>1173</v>
      </c>
      <c r="C235">
        <v>139</v>
      </c>
      <c r="D235" t="s">
        <v>28</v>
      </c>
      <c r="E235" s="1">
        <v>45590</v>
      </c>
      <c r="J235">
        <v>74</v>
      </c>
      <c r="K235">
        <v>72</v>
      </c>
    </row>
    <row r="236" spans="1:11" x14ac:dyDescent="0.3">
      <c r="A236" t="s">
        <v>230</v>
      </c>
      <c r="B236" t="s">
        <v>231</v>
      </c>
      <c r="C236">
        <v>101</v>
      </c>
      <c r="D236" t="s">
        <v>28</v>
      </c>
      <c r="E236" s="1">
        <v>45555</v>
      </c>
      <c r="J236">
        <v>84</v>
      </c>
      <c r="K236">
        <v>97</v>
      </c>
    </row>
    <row r="237" spans="1:11" x14ac:dyDescent="0.3">
      <c r="A237" t="s">
        <v>826</v>
      </c>
      <c r="B237" t="s">
        <v>827</v>
      </c>
      <c r="C237">
        <v>114</v>
      </c>
      <c r="D237" t="s">
        <v>28</v>
      </c>
      <c r="E237" s="1">
        <v>45750</v>
      </c>
      <c r="J237">
        <v>65</v>
      </c>
      <c r="K237">
        <v>84</v>
      </c>
    </row>
    <row r="238" spans="1:11" x14ac:dyDescent="0.3">
      <c r="A238" t="s">
        <v>906</v>
      </c>
      <c r="B238" t="s">
        <v>907</v>
      </c>
      <c r="C238">
        <v>141</v>
      </c>
      <c r="D238" t="s">
        <v>15</v>
      </c>
      <c r="E238" s="1">
        <v>45310</v>
      </c>
      <c r="J238">
        <v>75</v>
      </c>
      <c r="K238">
        <v>82</v>
      </c>
    </row>
    <row r="239" spans="1:11" x14ac:dyDescent="0.3">
      <c r="A239" t="s">
        <v>370</v>
      </c>
      <c r="B239" t="s">
        <v>371</v>
      </c>
      <c r="C239">
        <v>100</v>
      </c>
      <c r="D239" t="s">
        <v>15</v>
      </c>
      <c r="E239" s="1">
        <v>44791</v>
      </c>
      <c r="H239">
        <v>7.8789999999999996</v>
      </c>
      <c r="J239">
        <v>65</v>
      </c>
      <c r="K239">
        <v>95</v>
      </c>
    </row>
    <row r="240" spans="1:11" x14ac:dyDescent="0.3">
      <c r="A240" t="s">
        <v>669</v>
      </c>
      <c r="B240" t="s">
        <v>670</v>
      </c>
      <c r="C240">
        <v>98</v>
      </c>
      <c r="D240" t="s">
        <v>15</v>
      </c>
      <c r="E240" s="1">
        <v>45177</v>
      </c>
      <c r="J240">
        <v>69</v>
      </c>
      <c r="K240">
        <v>88</v>
      </c>
    </row>
    <row r="241" spans="1:11" x14ac:dyDescent="0.3">
      <c r="A241" t="s">
        <v>643</v>
      </c>
      <c r="B241" t="s">
        <v>644</v>
      </c>
      <c r="C241">
        <v>111</v>
      </c>
      <c r="D241" t="s">
        <v>15</v>
      </c>
      <c r="E241" s="1">
        <v>44946</v>
      </c>
      <c r="J241">
        <v>66</v>
      </c>
      <c r="K241">
        <v>89</v>
      </c>
    </row>
    <row r="242" spans="1:11" x14ac:dyDescent="0.3">
      <c r="A242" t="s">
        <v>420</v>
      </c>
      <c r="B242" t="s">
        <v>421</v>
      </c>
      <c r="C242">
        <v>115</v>
      </c>
      <c r="D242" t="s">
        <v>12</v>
      </c>
      <c r="E242" s="1">
        <v>44757</v>
      </c>
      <c r="J242">
        <v>70</v>
      </c>
      <c r="K242">
        <v>94</v>
      </c>
    </row>
    <row r="243" spans="1:11" x14ac:dyDescent="0.3">
      <c r="A243" t="s">
        <v>560</v>
      </c>
      <c r="B243" t="s">
        <v>561</v>
      </c>
      <c r="C243">
        <v>93</v>
      </c>
      <c r="D243" t="s">
        <v>15</v>
      </c>
      <c r="E243" s="1">
        <v>45072</v>
      </c>
      <c r="J243">
        <v>67</v>
      </c>
      <c r="K243">
        <v>91</v>
      </c>
    </row>
    <row r="244" spans="1:11" x14ac:dyDescent="0.3">
      <c r="A244" t="s">
        <v>184</v>
      </c>
      <c r="B244" t="s">
        <v>185</v>
      </c>
      <c r="C244">
        <v>83</v>
      </c>
      <c r="D244" t="s">
        <v>15</v>
      </c>
      <c r="E244" s="1">
        <v>44841</v>
      </c>
      <c r="J244">
        <v>73</v>
      </c>
      <c r="K244">
        <v>100</v>
      </c>
    </row>
    <row r="245" spans="1:11" x14ac:dyDescent="0.3">
      <c r="A245" t="s">
        <v>394</v>
      </c>
      <c r="B245" t="s">
        <v>395</v>
      </c>
      <c r="C245">
        <v>107</v>
      </c>
      <c r="D245" t="s">
        <v>15</v>
      </c>
      <c r="E245" s="1">
        <v>45373</v>
      </c>
      <c r="J245">
        <v>74</v>
      </c>
      <c r="K245">
        <v>94</v>
      </c>
    </row>
    <row r="246" spans="1:11" x14ac:dyDescent="0.3">
      <c r="A246" t="s">
        <v>428</v>
      </c>
      <c r="B246" t="s">
        <v>429</v>
      </c>
      <c r="C246">
        <v>129</v>
      </c>
      <c r="D246" t="s">
        <v>28</v>
      </c>
      <c r="E246" s="1">
        <v>44720</v>
      </c>
      <c r="J246">
        <v>77</v>
      </c>
      <c r="K246">
        <v>94</v>
      </c>
    </row>
    <row r="247" spans="1:11" x14ac:dyDescent="0.3">
      <c r="A247" t="s">
        <v>574</v>
      </c>
      <c r="B247" t="s">
        <v>575</v>
      </c>
      <c r="C247">
        <v>98</v>
      </c>
      <c r="D247" t="s">
        <v>15</v>
      </c>
      <c r="E247" s="1">
        <v>44785</v>
      </c>
      <c r="J247">
        <v>77</v>
      </c>
      <c r="K247">
        <v>91</v>
      </c>
    </row>
    <row r="248" spans="1:11" x14ac:dyDescent="0.3">
      <c r="A248" t="s">
        <v>288</v>
      </c>
      <c r="B248" t="s">
        <v>289</v>
      </c>
      <c r="C248">
        <v>118</v>
      </c>
      <c r="D248" t="s">
        <v>18</v>
      </c>
      <c r="E248" s="1">
        <v>45308</v>
      </c>
      <c r="J248">
        <v>80</v>
      </c>
      <c r="K248">
        <v>96</v>
      </c>
    </row>
    <row r="249" spans="1:11" x14ac:dyDescent="0.3">
      <c r="A249" t="s">
        <v>39</v>
      </c>
      <c r="B249" t="s">
        <v>40</v>
      </c>
      <c r="C249">
        <v>126</v>
      </c>
      <c r="D249" t="s">
        <v>28</v>
      </c>
      <c r="E249" s="1">
        <v>45212</v>
      </c>
      <c r="J249">
        <v>74</v>
      </c>
      <c r="K249">
        <v>92</v>
      </c>
    </row>
    <row r="250" spans="1:11" x14ac:dyDescent="0.3">
      <c r="A250" t="s">
        <v>745</v>
      </c>
      <c r="B250" t="s">
        <v>746</v>
      </c>
      <c r="C250">
        <v>121</v>
      </c>
      <c r="D250" t="s">
        <v>15</v>
      </c>
      <c r="E250" s="1">
        <v>45233</v>
      </c>
      <c r="J250">
        <v>63</v>
      </c>
      <c r="K250">
        <v>86</v>
      </c>
    </row>
    <row r="251" spans="1:11" x14ac:dyDescent="0.3">
      <c r="A251" t="s">
        <v>1448</v>
      </c>
      <c r="B251" t="s">
        <v>1449</v>
      </c>
      <c r="C251">
        <v>128</v>
      </c>
      <c r="D251" t="s">
        <v>28</v>
      </c>
      <c r="E251" s="1">
        <v>45009</v>
      </c>
      <c r="J251">
        <v>50</v>
      </c>
      <c r="K251">
        <v>57</v>
      </c>
    </row>
    <row r="252" spans="1:11" x14ac:dyDescent="0.3">
      <c r="A252" t="s">
        <v>478</v>
      </c>
      <c r="B252" t="s">
        <v>479</v>
      </c>
      <c r="C252">
        <v>119</v>
      </c>
      <c r="D252" t="s">
        <v>28</v>
      </c>
      <c r="E252" s="1">
        <v>44841</v>
      </c>
      <c r="J252">
        <v>84</v>
      </c>
      <c r="K252">
        <v>93</v>
      </c>
    </row>
    <row r="253" spans="1:11" x14ac:dyDescent="0.3">
      <c r="A253" t="s">
        <v>502</v>
      </c>
      <c r="B253" s="2">
        <v>46270</v>
      </c>
      <c r="C253">
        <v>95</v>
      </c>
      <c r="D253" t="s">
        <v>28</v>
      </c>
      <c r="E253" s="1">
        <v>45674</v>
      </c>
      <c r="J253">
        <v>76</v>
      </c>
      <c r="K253">
        <v>92</v>
      </c>
    </row>
    <row r="254" spans="1:11" x14ac:dyDescent="0.3">
      <c r="A254" t="s">
        <v>498</v>
      </c>
      <c r="B254" t="s">
        <v>499</v>
      </c>
      <c r="C254">
        <v>101</v>
      </c>
      <c r="D254" t="s">
        <v>12</v>
      </c>
      <c r="E254" s="1">
        <v>45681</v>
      </c>
      <c r="J254">
        <v>76</v>
      </c>
      <c r="K254">
        <v>92</v>
      </c>
    </row>
    <row r="255" spans="1:11" x14ac:dyDescent="0.3">
      <c r="A255" t="s">
        <v>278</v>
      </c>
      <c r="B255" t="s">
        <v>279</v>
      </c>
      <c r="C255">
        <v>97</v>
      </c>
      <c r="D255" t="s">
        <v>28</v>
      </c>
      <c r="E255" s="1">
        <v>45527</v>
      </c>
      <c r="J255">
        <v>80</v>
      </c>
      <c r="K255">
        <v>96</v>
      </c>
    </row>
    <row r="256" spans="1:11" x14ac:dyDescent="0.3">
      <c r="A256" t="s">
        <v>894</v>
      </c>
      <c r="B256" t="s">
        <v>895</v>
      </c>
      <c r="C256">
        <v>122</v>
      </c>
      <c r="D256" t="s">
        <v>28</v>
      </c>
      <c r="E256" s="1">
        <v>45576</v>
      </c>
      <c r="J256">
        <v>64</v>
      </c>
      <c r="K256">
        <v>82</v>
      </c>
    </row>
    <row r="257" spans="1:11" x14ac:dyDescent="0.3">
      <c r="A257" t="s">
        <v>753</v>
      </c>
      <c r="B257" t="s">
        <v>754</v>
      </c>
      <c r="C257">
        <v>107</v>
      </c>
      <c r="D257" t="s">
        <v>15</v>
      </c>
      <c r="E257" s="1">
        <v>44942</v>
      </c>
      <c r="J257">
        <v>60</v>
      </c>
      <c r="K257">
        <v>86</v>
      </c>
    </row>
    <row r="258" spans="1:11" x14ac:dyDescent="0.3">
      <c r="A258" t="s">
        <v>620</v>
      </c>
      <c r="B258" t="s">
        <v>621</v>
      </c>
      <c r="C258">
        <v>115</v>
      </c>
      <c r="D258" t="s">
        <v>15</v>
      </c>
      <c r="E258" s="1">
        <v>45618</v>
      </c>
      <c r="J258">
        <v>62</v>
      </c>
      <c r="K258">
        <v>89</v>
      </c>
    </row>
    <row r="259" spans="1:11" x14ac:dyDescent="0.3">
      <c r="A259" t="s">
        <v>164</v>
      </c>
      <c r="B259" t="s">
        <v>165</v>
      </c>
      <c r="C259">
        <v>118</v>
      </c>
      <c r="D259" t="s">
        <v>25</v>
      </c>
      <c r="E259" s="1">
        <v>45567</v>
      </c>
      <c r="J259">
        <v>93</v>
      </c>
      <c r="K259">
        <v>100</v>
      </c>
    </row>
    <row r="260" spans="1:11" x14ac:dyDescent="0.3">
      <c r="A260" t="s">
        <v>521</v>
      </c>
      <c r="B260" t="s">
        <v>522</v>
      </c>
      <c r="C260">
        <v>143</v>
      </c>
      <c r="D260" t="s">
        <v>25</v>
      </c>
      <c r="E260" s="1">
        <v>45097</v>
      </c>
      <c r="J260">
        <v>81</v>
      </c>
      <c r="K260">
        <v>92</v>
      </c>
    </row>
    <row r="261" spans="1:11" x14ac:dyDescent="0.3">
      <c r="A261" t="s">
        <v>1512</v>
      </c>
      <c r="B261" t="s">
        <v>1513</v>
      </c>
      <c r="C261">
        <v>120</v>
      </c>
      <c r="D261" t="s">
        <v>15</v>
      </c>
      <c r="E261" s="1">
        <v>44981</v>
      </c>
      <c r="J261">
        <v>46</v>
      </c>
      <c r="K261">
        <v>54</v>
      </c>
    </row>
    <row r="262" spans="1:11" x14ac:dyDescent="0.3">
      <c r="A262" t="s">
        <v>699</v>
      </c>
      <c r="B262" t="s">
        <v>700</v>
      </c>
      <c r="C262">
        <v>88</v>
      </c>
      <c r="D262" t="s">
        <v>18</v>
      </c>
      <c r="E262" s="1">
        <v>45125</v>
      </c>
      <c r="J262">
        <v>78</v>
      </c>
      <c r="K262">
        <v>87</v>
      </c>
    </row>
    <row r="263" spans="1:11" x14ac:dyDescent="0.3">
      <c r="A263" t="s">
        <v>276</v>
      </c>
      <c r="B263" t="s">
        <v>277</v>
      </c>
      <c r="C263">
        <v>90</v>
      </c>
      <c r="D263" t="s">
        <v>28</v>
      </c>
      <c r="E263" s="1">
        <v>45597</v>
      </c>
      <c r="J263">
        <v>85</v>
      </c>
      <c r="K263">
        <v>96</v>
      </c>
    </row>
    <row r="264" spans="1:11" x14ac:dyDescent="0.3">
      <c r="A264" t="s">
        <v>178</v>
      </c>
      <c r="B264" t="s">
        <v>179</v>
      </c>
      <c r="C264">
        <v>113</v>
      </c>
      <c r="D264" t="s">
        <v>15</v>
      </c>
      <c r="E264" s="1">
        <v>45205</v>
      </c>
      <c r="J264">
        <v>72</v>
      </c>
      <c r="K264">
        <v>100</v>
      </c>
    </row>
    <row r="265" spans="1:11" x14ac:dyDescent="0.3">
      <c r="A265" t="s">
        <v>192</v>
      </c>
      <c r="B265" t="s">
        <v>193</v>
      </c>
      <c r="C265">
        <v>73</v>
      </c>
      <c r="D265" t="s">
        <v>28</v>
      </c>
      <c r="E265" s="1">
        <v>45135</v>
      </c>
      <c r="J265">
        <v>79</v>
      </c>
      <c r="K265">
        <v>99</v>
      </c>
    </row>
    <row r="266" spans="1:11" x14ac:dyDescent="0.3">
      <c r="A266" t="s">
        <v>677</v>
      </c>
      <c r="B266" t="s">
        <v>678</v>
      </c>
      <c r="C266">
        <v>100</v>
      </c>
      <c r="D266" t="s">
        <v>28</v>
      </c>
      <c r="E266" s="1">
        <v>45023</v>
      </c>
      <c r="J266">
        <v>69</v>
      </c>
      <c r="K266">
        <v>88</v>
      </c>
    </row>
    <row r="267" spans="1:11" x14ac:dyDescent="0.3">
      <c r="A267" t="s">
        <v>51</v>
      </c>
      <c r="B267" t="s">
        <v>52</v>
      </c>
      <c r="C267">
        <v>104</v>
      </c>
      <c r="D267" t="s">
        <v>28</v>
      </c>
      <c r="E267" s="1">
        <v>45345</v>
      </c>
      <c r="J267">
        <v>61</v>
      </c>
      <c r="K267">
        <v>88</v>
      </c>
    </row>
    <row r="268" spans="1:11" x14ac:dyDescent="0.3">
      <c r="A268" t="s">
        <v>274</v>
      </c>
      <c r="B268" t="s">
        <v>275</v>
      </c>
      <c r="C268">
        <v>87</v>
      </c>
      <c r="D268" t="s">
        <v>28</v>
      </c>
      <c r="E268" s="1">
        <v>45722</v>
      </c>
      <c r="J268">
        <v>73</v>
      </c>
      <c r="K268">
        <v>96</v>
      </c>
    </row>
    <row r="269" spans="1:11" x14ac:dyDescent="0.3">
      <c r="A269" t="s">
        <v>1244</v>
      </c>
      <c r="B269" t="s">
        <v>1245</v>
      </c>
      <c r="C269">
        <v>107</v>
      </c>
      <c r="D269" t="s">
        <v>15</v>
      </c>
      <c r="E269" s="1">
        <v>45366</v>
      </c>
      <c r="J269">
        <v>54</v>
      </c>
      <c r="K269">
        <v>70</v>
      </c>
    </row>
    <row r="270" spans="1:11" x14ac:dyDescent="0.3">
      <c r="A270" t="s">
        <v>725</v>
      </c>
      <c r="B270" t="s">
        <v>726</v>
      </c>
      <c r="C270">
        <v>91</v>
      </c>
      <c r="D270" t="s">
        <v>12</v>
      </c>
      <c r="E270" s="1">
        <v>45730</v>
      </c>
      <c r="J270">
        <v>69</v>
      </c>
      <c r="K270">
        <v>86</v>
      </c>
    </row>
    <row r="271" spans="1:11" x14ac:dyDescent="0.3">
      <c r="A271" t="s">
        <v>507</v>
      </c>
      <c r="B271" t="s">
        <v>508</v>
      </c>
      <c r="C271">
        <v>83</v>
      </c>
      <c r="D271" t="s">
        <v>28</v>
      </c>
      <c r="E271" s="1">
        <v>45517</v>
      </c>
      <c r="J271">
        <v>71</v>
      </c>
      <c r="K271">
        <v>92</v>
      </c>
    </row>
    <row r="272" spans="1:11" x14ac:dyDescent="0.3">
      <c r="A272" t="s">
        <v>596</v>
      </c>
      <c r="B272" t="s">
        <v>597</v>
      </c>
      <c r="C272">
        <v>90</v>
      </c>
      <c r="D272" t="s">
        <v>25</v>
      </c>
      <c r="E272" s="1">
        <v>45337</v>
      </c>
      <c r="J272">
        <v>70</v>
      </c>
      <c r="K272">
        <v>90</v>
      </c>
    </row>
    <row r="273" spans="1:11" x14ac:dyDescent="0.3">
      <c r="A273" t="s">
        <v>910</v>
      </c>
      <c r="B273" t="s">
        <v>911</v>
      </c>
      <c r="C273">
        <v>102</v>
      </c>
      <c r="D273" t="s">
        <v>12</v>
      </c>
      <c r="E273" s="1">
        <v>45251</v>
      </c>
      <c r="J273">
        <v>65</v>
      </c>
      <c r="K273">
        <v>82</v>
      </c>
    </row>
    <row r="274" spans="1:11" x14ac:dyDescent="0.3">
      <c r="A274" t="s">
        <v>422</v>
      </c>
      <c r="B274" t="s">
        <v>423</v>
      </c>
      <c r="C274">
        <v>115</v>
      </c>
      <c r="D274" t="s">
        <v>12</v>
      </c>
      <c r="E274" s="1">
        <v>44750</v>
      </c>
      <c r="J274">
        <v>74</v>
      </c>
      <c r="K274">
        <v>94</v>
      </c>
    </row>
    <row r="275" spans="1:11" x14ac:dyDescent="0.3">
      <c r="A275" t="s">
        <v>741</v>
      </c>
      <c r="B275" t="s">
        <v>742</v>
      </c>
      <c r="C275">
        <v>134</v>
      </c>
      <c r="D275" t="s">
        <v>18</v>
      </c>
      <c r="E275" s="1">
        <v>45436</v>
      </c>
      <c r="J275">
        <v>75</v>
      </c>
      <c r="K275">
        <v>86</v>
      </c>
    </row>
    <row r="276" spans="1:11" x14ac:dyDescent="0.3">
      <c r="A276" t="s">
        <v>1444</v>
      </c>
      <c r="B276" t="s">
        <v>1445</v>
      </c>
      <c r="C276">
        <v>123</v>
      </c>
      <c r="D276" t="s">
        <v>15</v>
      </c>
      <c r="E276" s="1">
        <v>45285</v>
      </c>
      <c r="J276">
        <v>54</v>
      </c>
      <c r="K276">
        <v>57</v>
      </c>
    </row>
    <row r="277" spans="1:11" x14ac:dyDescent="0.3">
      <c r="A277" t="s">
        <v>727</v>
      </c>
      <c r="B277" t="s">
        <v>728</v>
      </c>
      <c r="C277">
        <v>119</v>
      </c>
      <c r="D277" t="s">
        <v>28</v>
      </c>
      <c r="E277" s="1">
        <v>45649</v>
      </c>
      <c r="J277">
        <v>74</v>
      </c>
      <c r="K277">
        <v>86</v>
      </c>
    </row>
    <row r="278" spans="1:11" x14ac:dyDescent="0.3">
      <c r="A278" t="s">
        <v>482</v>
      </c>
      <c r="B278" t="s">
        <v>483</v>
      </c>
      <c r="C278">
        <v>103</v>
      </c>
      <c r="D278" t="s">
        <v>28</v>
      </c>
      <c r="E278" s="1">
        <v>44820</v>
      </c>
      <c r="J278">
        <v>76</v>
      </c>
      <c r="K278">
        <v>93</v>
      </c>
    </row>
    <row r="279" spans="1:11" x14ac:dyDescent="0.3">
      <c r="A279" t="s">
        <v>996</v>
      </c>
      <c r="B279" t="s">
        <v>997</v>
      </c>
      <c r="C279">
        <v>108</v>
      </c>
      <c r="D279" t="s">
        <v>28</v>
      </c>
      <c r="E279" s="1">
        <v>45583</v>
      </c>
      <c r="J279">
        <v>59</v>
      </c>
      <c r="K279">
        <v>79</v>
      </c>
    </row>
    <row r="280" spans="1:11" x14ac:dyDescent="0.3">
      <c r="A280" t="s">
        <v>1200</v>
      </c>
      <c r="B280" t="s">
        <v>1201</v>
      </c>
      <c r="C280">
        <v>105</v>
      </c>
      <c r="D280" t="s">
        <v>12</v>
      </c>
      <c r="E280" s="1">
        <v>44771</v>
      </c>
      <c r="J280">
        <v>56</v>
      </c>
      <c r="K280">
        <v>72</v>
      </c>
    </row>
    <row r="281" spans="1:11" x14ac:dyDescent="0.3">
      <c r="A281" t="s">
        <v>182</v>
      </c>
      <c r="B281" t="s">
        <v>183</v>
      </c>
      <c r="C281">
        <v>80</v>
      </c>
      <c r="D281" t="s">
        <v>18</v>
      </c>
      <c r="E281" s="1">
        <v>44909</v>
      </c>
      <c r="J281">
        <v>78</v>
      </c>
      <c r="K281">
        <v>100</v>
      </c>
    </row>
    <row r="282" spans="1:11" x14ac:dyDescent="0.3">
      <c r="A282" t="s">
        <v>238</v>
      </c>
      <c r="B282" t="s">
        <v>239</v>
      </c>
      <c r="C282">
        <v>93</v>
      </c>
      <c r="D282" t="s">
        <v>28</v>
      </c>
      <c r="E282" s="1">
        <v>45373</v>
      </c>
      <c r="J282">
        <v>72</v>
      </c>
      <c r="K282">
        <v>97</v>
      </c>
    </row>
    <row r="283" spans="1:11" x14ac:dyDescent="0.3">
      <c r="A283" t="s">
        <v>902</v>
      </c>
      <c r="B283" t="s">
        <v>903</v>
      </c>
      <c r="C283">
        <v>112</v>
      </c>
      <c r="D283" t="s">
        <v>28</v>
      </c>
      <c r="E283" s="1">
        <v>45384</v>
      </c>
      <c r="J283">
        <v>64</v>
      </c>
      <c r="K283">
        <v>82</v>
      </c>
    </row>
    <row r="284" spans="1:11" x14ac:dyDescent="0.3">
      <c r="A284" t="s">
        <v>166</v>
      </c>
      <c r="B284" t="s">
        <v>167</v>
      </c>
      <c r="C284">
        <v>128</v>
      </c>
      <c r="D284" t="s">
        <v>28</v>
      </c>
      <c r="E284" s="1">
        <v>45490</v>
      </c>
      <c r="J284">
        <v>75</v>
      </c>
      <c r="K284">
        <v>100</v>
      </c>
    </row>
    <row r="285" spans="1:11" x14ac:dyDescent="0.3">
      <c r="A285" t="s">
        <v>440</v>
      </c>
      <c r="B285" t="s">
        <v>441</v>
      </c>
      <c r="C285">
        <v>97</v>
      </c>
      <c r="D285" t="s">
        <v>28</v>
      </c>
      <c r="E285" s="1">
        <v>45688</v>
      </c>
      <c r="J285">
        <v>70</v>
      </c>
      <c r="K285">
        <v>93</v>
      </c>
    </row>
    <row r="286" spans="1:11" x14ac:dyDescent="0.3">
      <c r="A286" t="s">
        <v>1314</v>
      </c>
      <c r="B286" t="s">
        <v>1315</v>
      </c>
      <c r="C286">
        <v>114</v>
      </c>
      <c r="D286" t="s">
        <v>28</v>
      </c>
      <c r="E286" s="1">
        <v>45366</v>
      </c>
      <c r="J286">
        <v>54</v>
      </c>
      <c r="K286">
        <v>66</v>
      </c>
    </row>
    <row r="287" spans="1:11" x14ac:dyDescent="0.3">
      <c r="A287" t="s">
        <v>590</v>
      </c>
      <c r="B287" t="s">
        <v>591</v>
      </c>
      <c r="C287">
        <v>126</v>
      </c>
      <c r="D287" t="s">
        <v>28</v>
      </c>
      <c r="E287" s="1">
        <v>45413</v>
      </c>
      <c r="J287">
        <v>77</v>
      </c>
      <c r="K287">
        <v>90</v>
      </c>
    </row>
    <row r="288" spans="1:11" x14ac:dyDescent="0.3">
      <c r="A288" t="s">
        <v>580</v>
      </c>
      <c r="B288" t="s">
        <v>581</v>
      </c>
      <c r="C288">
        <v>111</v>
      </c>
      <c r="D288" t="s">
        <v>28</v>
      </c>
      <c r="E288" s="1">
        <v>45604</v>
      </c>
      <c r="J288">
        <v>71</v>
      </c>
      <c r="K288">
        <v>90</v>
      </c>
    </row>
    <row r="289" spans="1:11" x14ac:dyDescent="0.3">
      <c r="A289" t="s">
        <v>715</v>
      </c>
      <c r="B289" t="s">
        <v>716</v>
      </c>
      <c r="C289">
        <v>102</v>
      </c>
      <c r="D289" t="s">
        <v>15</v>
      </c>
      <c r="E289" s="1">
        <v>44708</v>
      </c>
      <c r="J289">
        <v>75</v>
      </c>
      <c r="K289">
        <v>87</v>
      </c>
    </row>
    <row r="290" spans="1:11" x14ac:dyDescent="0.3">
      <c r="A290" t="s">
        <v>106</v>
      </c>
      <c r="B290" t="s">
        <v>107</v>
      </c>
      <c r="C290">
        <v>113</v>
      </c>
      <c r="D290" t="s">
        <v>12</v>
      </c>
      <c r="E290" s="1">
        <v>45408</v>
      </c>
      <c r="J290">
        <v>46</v>
      </c>
      <c r="K290">
        <v>61</v>
      </c>
    </row>
    <row r="291" spans="1:11" x14ac:dyDescent="0.3">
      <c r="A291" t="s">
        <v>984</v>
      </c>
      <c r="B291" t="s">
        <v>985</v>
      </c>
      <c r="C291">
        <v>100</v>
      </c>
      <c r="D291" t="s">
        <v>28</v>
      </c>
      <c r="E291" s="1">
        <v>45387</v>
      </c>
      <c r="J291">
        <v>58</v>
      </c>
      <c r="K291">
        <v>80</v>
      </c>
    </row>
    <row r="292" spans="1:11" x14ac:dyDescent="0.3">
      <c r="A292" t="s">
        <v>196</v>
      </c>
      <c r="B292" t="s">
        <v>197</v>
      </c>
      <c r="C292">
        <v>97</v>
      </c>
      <c r="D292" t="s">
        <v>18</v>
      </c>
      <c r="E292" s="1">
        <v>44964</v>
      </c>
      <c r="J292">
        <v>87</v>
      </c>
      <c r="K292">
        <v>99</v>
      </c>
    </row>
    <row r="293" spans="1:11" x14ac:dyDescent="0.3">
      <c r="A293" t="s">
        <v>154</v>
      </c>
      <c r="B293" t="s">
        <v>155</v>
      </c>
      <c r="C293">
        <v>107</v>
      </c>
      <c r="D293" t="s">
        <v>28</v>
      </c>
      <c r="E293" s="1">
        <v>45635</v>
      </c>
      <c r="J293">
        <v>90</v>
      </c>
      <c r="K293">
        <v>100</v>
      </c>
    </row>
    <row r="294" spans="1:11" x14ac:dyDescent="0.3">
      <c r="A294" t="s">
        <v>787</v>
      </c>
      <c r="B294" t="s">
        <v>788</v>
      </c>
      <c r="C294">
        <v>108</v>
      </c>
      <c r="D294" t="s">
        <v>28</v>
      </c>
      <c r="E294" s="1">
        <v>45358</v>
      </c>
      <c r="J294">
        <v>64</v>
      </c>
      <c r="K294">
        <v>85</v>
      </c>
    </row>
    <row r="295" spans="1:11" x14ac:dyDescent="0.3">
      <c r="A295" t="s">
        <v>386</v>
      </c>
      <c r="B295" t="s">
        <v>387</v>
      </c>
      <c r="C295">
        <v>98</v>
      </c>
      <c r="D295" t="s">
        <v>25</v>
      </c>
      <c r="E295" s="1">
        <v>45448</v>
      </c>
      <c r="J295">
        <v>79</v>
      </c>
      <c r="K295">
        <v>94</v>
      </c>
    </row>
    <row r="296" spans="1:11" x14ac:dyDescent="0.3">
      <c r="A296" t="s">
        <v>446</v>
      </c>
      <c r="B296" t="s">
        <v>447</v>
      </c>
      <c r="C296">
        <v>114</v>
      </c>
      <c r="D296" t="s">
        <v>15</v>
      </c>
      <c r="E296" s="1">
        <v>45646</v>
      </c>
      <c r="J296">
        <v>72</v>
      </c>
      <c r="K296">
        <v>93</v>
      </c>
    </row>
    <row r="297" spans="1:11" x14ac:dyDescent="0.3">
      <c r="A297" t="s">
        <v>202</v>
      </c>
      <c r="B297" t="s">
        <v>203</v>
      </c>
      <c r="C297">
        <v>98</v>
      </c>
      <c r="D297" t="s">
        <v>15</v>
      </c>
      <c r="E297" s="1">
        <v>45464</v>
      </c>
      <c r="J297">
        <v>77</v>
      </c>
      <c r="K297">
        <v>98</v>
      </c>
    </row>
    <row r="298" spans="1:11" x14ac:dyDescent="0.3">
      <c r="A298" t="s">
        <v>23</v>
      </c>
      <c r="B298" t="s">
        <v>24</v>
      </c>
      <c r="C298">
        <v>95</v>
      </c>
      <c r="D298" t="s">
        <v>25</v>
      </c>
      <c r="E298" s="1">
        <v>45405</v>
      </c>
      <c r="J298">
        <v>91</v>
      </c>
      <c r="K298">
        <v>97</v>
      </c>
    </row>
    <row r="299" spans="1:11" x14ac:dyDescent="0.3">
      <c r="A299" t="s">
        <v>769</v>
      </c>
      <c r="B299" t="s">
        <v>770</v>
      </c>
      <c r="C299">
        <v>106</v>
      </c>
      <c r="D299" t="s">
        <v>15</v>
      </c>
      <c r="E299" s="1">
        <v>44638</v>
      </c>
      <c r="J299">
        <v>65</v>
      </c>
      <c r="K299">
        <v>86</v>
      </c>
    </row>
    <row r="300" spans="1:11" x14ac:dyDescent="0.3">
      <c r="A300" t="s">
        <v>968</v>
      </c>
      <c r="B300" t="s">
        <v>969</v>
      </c>
      <c r="C300">
        <v>123</v>
      </c>
      <c r="D300" t="s">
        <v>28</v>
      </c>
      <c r="E300" s="1">
        <v>45737</v>
      </c>
      <c r="J300">
        <v>69</v>
      </c>
      <c r="K300">
        <v>80</v>
      </c>
    </row>
    <row r="301" spans="1:11" x14ac:dyDescent="0.3">
      <c r="A301" t="s">
        <v>37</v>
      </c>
      <c r="B301" t="s">
        <v>38</v>
      </c>
      <c r="C301">
        <v>117</v>
      </c>
      <c r="D301" t="s">
        <v>12</v>
      </c>
      <c r="E301" s="1">
        <v>44920</v>
      </c>
      <c r="J301">
        <v>72</v>
      </c>
      <c r="K301">
        <v>93</v>
      </c>
    </row>
    <row r="302" spans="1:11" x14ac:dyDescent="0.3">
      <c r="A302" t="s">
        <v>384</v>
      </c>
      <c r="B302" t="s">
        <v>385</v>
      </c>
      <c r="C302">
        <v>107</v>
      </c>
      <c r="D302" t="s">
        <v>28</v>
      </c>
      <c r="E302" s="1">
        <v>45450</v>
      </c>
      <c r="J302">
        <v>80</v>
      </c>
      <c r="K302">
        <v>94</v>
      </c>
    </row>
    <row r="303" spans="1:11" x14ac:dyDescent="0.3">
      <c r="A303" t="s">
        <v>494</v>
      </c>
      <c r="B303" t="s">
        <v>495</v>
      </c>
      <c r="C303">
        <v>140</v>
      </c>
      <c r="D303" t="s">
        <v>15</v>
      </c>
      <c r="E303" s="1">
        <v>45716</v>
      </c>
      <c r="J303">
        <v>91</v>
      </c>
      <c r="K303">
        <v>92</v>
      </c>
    </row>
    <row r="304" spans="1:11" x14ac:dyDescent="0.3">
      <c r="A304" t="s">
        <v>328</v>
      </c>
      <c r="B304" t="s">
        <v>329</v>
      </c>
      <c r="C304">
        <v>115</v>
      </c>
      <c r="D304" t="s">
        <v>28</v>
      </c>
      <c r="E304" s="1">
        <v>44617</v>
      </c>
      <c r="J304">
        <v>79</v>
      </c>
      <c r="K304">
        <v>96</v>
      </c>
    </row>
    <row r="305" spans="1:11" x14ac:dyDescent="0.3">
      <c r="A305" t="s">
        <v>256</v>
      </c>
      <c r="B305" t="s">
        <v>257</v>
      </c>
      <c r="C305">
        <v>117</v>
      </c>
      <c r="D305" t="s">
        <v>28</v>
      </c>
      <c r="E305" s="1">
        <v>45016</v>
      </c>
      <c r="J305">
        <v>81</v>
      </c>
      <c r="K305">
        <v>97</v>
      </c>
    </row>
    <row r="306" spans="1:11" x14ac:dyDescent="0.3">
      <c r="A306" t="s">
        <v>818</v>
      </c>
      <c r="B306" t="s">
        <v>819</v>
      </c>
      <c r="C306">
        <v>86</v>
      </c>
      <c r="D306" t="s">
        <v>28</v>
      </c>
      <c r="E306" s="1">
        <v>44694</v>
      </c>
      <c r="J306">
        <v>74</v>
      </c>
      <c r="K306">
        <v>85</v>
      </c>
    </row>
    <row r="307" spans="1:11" x14ac:dyDescent="0.3">
      <c r="A307" t="s">
        <v>1042</v>
      </c>
      <c r="B307" t="s">
        <v>1043</v>
      </c>
      <c r="C307">
        <v>180</v>
      </c>
      <c r="D307" t="s">
        <v>18</v>
      </c>
      <c r="E307" s="1">
        <v>45470</v>
      </c>
      <c r="J307">
        <v>65</v>
      </c>
      <c r="K307">
        <v>77</v>
      </c>
    </row>
    <row r="308" spans="1:11" x14ac:dyDescent="0.3">
      <c r="A308" t="s">
        <v>334</v>
      </c>
      <c r="B308" t="s">
        <v>335</v>
      </c>
      <c r="C308">
        <v>117</v>
      </c>
      <c r="D308" t="s">
        <v>28</v>
      </c>
      <c r="E308" s="1">
        <v>45629</v>
      </c>
      <c r="J308">
        <v>82</v>
      </c>
      <c r="K308">
        <v>95</v>
      </c>
    </row>
    <row r="309" spans="1:11" x14ac:dyDescent="0.3">
      <c r="A309" t="s">
        <v>1122</v>
      </c>
      <c r="B309" t="s">
        <v>1123</v>
      </c>
      <c r="C309">
        <v>118</v>
      </c>
      <c r="D309" t="s">
        <v>28</v>
      </c>
      <c r="E309" s="1">
        <v>45149</v>
      </c>
      <c r="H309">
        <v>7.9370000000000003</v>
      </c>
      <c r="J309">
        <v>62</v>
      </c>
      <c r="K309">
        <v>75</v>
      </c>
    </row>
    <row r="310" spans="1:11" x14ac:dyDescent="0.3">
      <c r="A310" t="s">
        <v>416</v>
      </c>
      <c r="B310" t="s">
        <v>417</v>
      </c>
      <c r="C310">
        <v>135</v>
      </c>
      <c r="D310" t="s">
        <v>15</v>
      </c>
      <c r="E310" s="1">
        <v>44820</v>
      </c>
      <c r="H310">
        <v>7.6139999999999999</v>
      </c>
      <c r="J310">
        <v>76</v>
      </c>
      <c r="K310">
        <v>94</v>
      </c>
    </row>
    <row r="311" spans="1:11" x14ac:dyDescent="0.3">
      <c r="A311" t="s">
        <v>410</v>
      </c>
      <c r="B311" t="s">
        <v>411</v>
      </c>
      <c r="C311">
        <v>91</v>
      </c>
      <c r="D311" t="s">
        <v>28</v>
      </c>
      <c r="E311" s="1">
        <v>45044</v>
      </c>
      <c r="J311">
        <v>70</v>
      </c>
      <c r="K311">
        <v>94</v>
      </c>
    </row>
    <row r="312" spans="1:11" x14ac:dyDescent="0.3">
      <c r="A312" t="s">
        <v>1306</v>
      </c>
      <c r="B312" t="s">
        <v>1307</v>
      </c>
      <c r="C312">
        <v>96</v>
      </c>
      <c r="D312" t="s">
        <v>15</v>
      </c>
      <c r="E312" s="1">
        <v>44729</v>
      </c>
      <c r="J312">
        <v>52</v>
      </c>
      <c r="K312">
        <v>67</v>
      </c>
    </row>
    <row r="313" spans="1:11" x14ac:dyDescent="0.3">
      <c r="A313" t="s">
        <v>1520</v>
      </c>
      <c r="B313" t="s">
        <v>1521</v>
      </c>
      <c r="C313">
        <v>114</v>
      </c>
      <c r="D313" t="s">
        <v>15</v>
      </c>
      <c r="E313" s="1">
        <v>44890</v>
      </c>
      <c r="J313">
        <v>41</v>
      </c>
      <c r="K313">
        <v>53</v>
      </c>
    </row>
    <row r="314" spans="1:11" x14ac:dyDescent="0.3">
      <c r="A314" t="s">
        <v>856</v>
      </c>
      <c r="B314" t="s">
        <v>857</v>
      </c>
      <c r="C314">
        <v>93</v>
      </c>
      <c r="D314" t="s">
        <v>12</v>
      </c>
      <c r="E314" s="1">
        <v>45576</v>
      </c>
      <c r="J314">
        <v>63</v>
      </c>
      <c r="K314">
        <v>83</v>
      </c>
    </row>
    <row r="315" spans="1:11" x14ac:dyDescent="0.3">
      <c r="A315" t="s">
        <v>226</v>
      </c>
      <c r="B315" t="s">
        <v>227</v>
      </c>
      <c r="C315">
        <v>85</v>
      </c>
      <c r="D315" t="s">
        <v>12</v>
      </c>
      <c r="E315" s="1">
        <v>45583</v>
      </c>
      <c r="J315">
        <v>68</v>
      </c>
      <c r="K315">
        <v>97</v>
      </c>
    </row>
    <row r="316" spans="1:11" x14ac:dyDescent="0.3">
      <c r="A316" t="s">
        <v>70</v>
      </c>
      <c r="B316" t="s">
        <v>71</v>
      </c>
      <c r="C316">
        <v>117</v>
      </c>
      <c r="D316" t="s">
        <v>63</v>
      </c>
      <c r="E316" s="1">
        <v>45030</v>
      </c>
      <c r="J316">
        <v>48</v>
      </c>
      <c r="K316">
        <v>82</v>
      </c>
    </row>
    <row r="317" spans="1:11" x14ac:dyDescent="0.3">
      <c r="A317" t="s">
        <v>298</v>
      </c>
      <c r="B317" t="s">
        <v>299</v>
      </c>
      <c r="C317">
        <v>99</v>
      </c>
      <c r="D317" t="s">
        <v>18</v>
      </c>
      <c r="E317" s="1">
        <v>45226</v>
      </c>
      <c r="J317">
        <v>75</v>
      </c>
      <c r="K317">
        <v>96</v>
      </c>
    </row>
    <row r="318" spans="1:11" x14ac:dyDescent="0.3">
      <c r="A318" t="s">
        <v>456</v>
      </c>
      <c r="B318" t="s">
        <v>457</v>
      </c>
      <c r="C318">
        <v>119</v>
      </c>
      <c r="D318" t="s">
        <v>18</v>
      </c>
      <c r="E318" s="1">
        <v>45554</v>
      </c>
      <c r="J318">
        <v>85</v>
      </c>
      <c r="K318">
        <v>93</v>
      </c>
    </row>
    <row r="319" spans="1:11" x14ac:dyDescent="0.3">
      <c r="A319" t="s">
        <v>1266</v>
      </c>
      <c r="B319" t="s">
        <v>1267</v>
      </c>
      <c r="C319">
        <v>117</v>
      </c>
      <c r="D319" t="s">
        <v>28</v>
      </c>
      <c r="E319" s="1">
        <v>45548</v>
      </c>
      <c r="J319">
        <v>62</v>
      </c>
      <c r="K319">
        <v>68</v>
      </c>
    </row>
    <row r="320" spans="1:11" x14ac:dyDescent="0.3">
      <c r="A320" t="s">
        <v>72</v>
      </c>
      <c r="B320" t="s">
        <v>73</v>
      </c>
      <c r="C320">
        <v>97</v>
      </c>
      <c r="D320" t="s">
        <v>12</v>
      </c>
      <c r="E320" s="1">
        <v>44701</v>
      </c>
      <c r="J320">
        <v>66</v>
      </c>
      <c r="K320">
        <v>81</v>
      </c>
    </row>
    <row r="321" spans="1:11" x14ac:dyDescent="0.3">
      <c r="A321" t="s">
        <v>270</v>
      </c>
      <c r="B321" t="s">
        <v>271</v>
      </c>
      <c r="C321">
        <v>95</v>
      </c>
      <c r="D321" t="s">
        <v>28</v>
      </c>
      <c r="E321" s="1">
        <v>44617</v>
      </c>
      <c r="J321">
        <v>74</v>
      </c>
      <c r="K321">
        <v>97</v>
      </c>
    </row>
    <row r="322" spans="1:11" x14ac:dyDescent="0.3">
      <c r="A322" t="s">
        <v>454</v>
      </c>
      <c r="B322" t="s">
        <v>455</v>
      </c>
      <c r="C322">
        <v>112</v>
      </c>
      <c r="D322" t="s">
        <v>28</v>
      </c>
      <c r="E322" s="1">
        <v>45569</v>
      </c>
      <c r="J322">
        <v>78</v>
      </c>
      <c r="K322">
        <v>93</v>
      </c>
    </row>
    <row r="323" spans="1:11" x14ac:dyDescent="0.3">
      <c r="A323" t="s">
        <v>234</v>
      </c>
      <c r="B323" t="s">
        <v>235</v>
      </c>
      <c r="C323">
        <v>90</v>
      </c>
      <c r="D323" t="s">
        <v>28</v>
      </c>
      <c r="E323" s="1">
        <v>45422</v>
      </c>
      <c r="J323">
        <v>72</v>
      </c>
      <c r="K323">
        <v>97</v>
      </c>
    </row>
    <row r="324" spans="1:11" x14ac:dyDescent="0.3">
      <c r="A324" t="s">
        <v>1030</v>
      </c>
      <c r="B324" t="s">
        <v>1031</v>
      </c>
      <c r="C324">
        <v>87</v>
      </c>
      <c r="D324" t="s">
        <v>15</v>
      </c>
      <c r="E324" s="1">
        <v>44683</v>
      </c>
      <c r="J324">
        <v>68</v>
      </c>
      <c r="K324">
        <v>78</v>
      </c>
    </row>
    <row r="325" spans="1:11" x14ac:dyDescent="0.3">
      <c r="A325" t="s">
        <v>606</v>
      </c>
      <c r="B325" t="s">
        <v>607</v>
      </c>
      <c r="C325">
        <v>104</v>
      </c>
      <c r="D325" t="s">
        <v>15</v>
      </c>
      <c r="E325" s="1">
        <v>44953</v>
      </c>
      <c r="J325">
        <v>77</v>
      </c>
      <c r="K325">
        <v>90</v>
      </c>
    </row>
    <row r="326" spans="1:11" x14ac:dyDescent="0.3">
      <c r="A326" t="s">
        <v>896</v>
      </c>
      <c r="B326" t="s">
        <v>897</v>
      </c>
      <c r="C326">
        <v>118</v>
      </c>
      <c r="D326" t="s">
        <v>28</v>
      </c>
      <c r="E326" s="1">
        <v>45569</v>
      </c>
      <c r="J326">
        <v>72</v>
      </c>
      <c r="K326">
        <v>82</v>
      </c>
    </row>
    <row r="327" spans="1:11" x14ac:dyDescent="0.3">
      <c r="A327" t="s">
        <v>584</v>
      </c>
      <c r="B327" t="s">
        <v>585</v>
      </c>
      <c r="C327">
        <v>89</v>
      </c>
      <c r="D327" t="s">
        <v>28</v>
      </c>
      <c r="E327" s="1">
        <v>45562</v>
      </c>
      <c r="J327">
        <v>74</v>
      </c>
      <c r="K327">
        <v>90</v>
      </c>
    </row>
    <row r="328" spans="1:11" x14ac:dyDescent="0.3">
      <c r="A328" t="s">
        <v>392</v>
      </c>
      <c r="B328" t="s">
        <v>393</v>
      </c>
      <c r="C328">
        <v>97</v>
      </c>
      <c r="D328" t="s">
        <v>18</v>
      </c>
      <c r="E328" s="1">
        <v>45380</v>
      </c>
      <c r="J328">
        <v>80</v>
      </c>
      <c r="K328">
        <v>94</v>
      </c>
    </row>
    <row r="329" spans="1:11" x14ac:dyDescent="0.3">
      <c r="A329" t="s">
        <v>1146</v>
      </c>
      <c r="B329" t="s">
        <v>1147</v>
      </c>
      <c r="C329">
        <v>140</v>
      </c>
      <c r="D329" t="s">
        <v>15</v>
      </c>
      <c r="E329" s="1">
        <v>45723</v>
      </c>
      <c r="J329">
        <v>65</v>
      </c>
      <c r="K329">
        <v>73</v>
      </c>
    </row>
    <row r="330" spans="1:11" x14ac:dyDescent="0.3">
      <c r="A330" t="s">
        <v>806</v>
      </c>
      <c r="B330" t="s">
        <v>807</v>
      </c>
      <c r="C330">
        <v>108</v>
      </c>
      <c r="D330" t="s">
        <v>90</v>
      </c>
      <c r="E330" s="1">
        <v>44869</v>
      </c>
      <c r="J330">
        <v>70</v>
      </c>
      <c r="K330">
        <v>85</v>
      </c>
    </row>
    <row r="331" spans="1:11" x14ac:dyDescent="0.3">
      <c r="A331" t="s">
        <v>1038</v>
      </c>
      <c r="B331" t="s">
        <v>1039</v>
      </c>
      <c r="C331">
        <v>109</v>
      </c>
      <c r="D331" t="s">
        <v>28</v>
      </c>
      <c r="E331" s="1">
        <v>45576</v>
      </c>
      <c r="J331">
        <v>60</v>
      </c>
      <c r="K331">
        <v>77</v>
      </c>
    </row>
    <row r="332" spans="1:11" x14ac:dyDescent="0.3">
      <c r="A332" t="s">
        <v>840</v>
      </c>
      <c r="B332" t="s">
        <v>841</v>
      </c>
      <c r="C332">
        <v>105</v>
      </c>
      <c r="D332" t="s">
        <v>28</v>
      </c>
      <c r="E332" s="1">
        <v>45198</v>
      </c>
      <c r="J332">
        <v>66</v>
      </c>
      <c r="K332">
        <v>84</v>
      </c>
    </row>
    <row r="333" spans="1:11" x14ac:dyDescent="0.3">
      <c r="A333" t="s">
        <v>404</v>
      </c>
      <c r="B333" t="s">
        <v>405</v>
      </c>
      <c r="C333">
        <v>84</v>
      </c>
      <c r="D333" t="s">
        <v>18</v>
      </c>
      <c r="E333" s="1">
        <v>45163</v>
      </c>
      <c r="J333">
        <v>74</v>
      </c>
      <c r="K333">
        <v>94</v>
      </c>
    </row>
    <row r="334" spans="1:11" x14ac:dyDescent="0.3">
      <c r="A334" t="s">
        <v>380</v>
      </c>
      <c r="B334" t="s">
        <v>381</v>
      </c>
      <c r="C334">
        <v>89</v>
      </c>
      <c r="D334" t="s">
        <v>28</v>
      </c>
      <c r="E334" s="1">
        <v>45674</v>
      </c>
      <c r="J334">
        <v>82</v>
      </c>
      <c r="K334">
        <v>94</v>
      </c>
    </row>
    <row r="335" spans="1:11" x14ac:dyDescent="0.3">
      <c r="A335" t="s">
        <v>749</v>
      </c>
      <c r="B335" t="s">
        <v>750</v>
      </c>
      <c r="C335">
        <v>92</v>
      </c>
      <c r="D335" t="s">
        <v>15</v>
      </c>
      <c r="E335" s="1">
        <v>45183</v>
      </c>
      <c r="J335">
        <v>70</v>
      </c>
      <c r="K335">
        <v>86</v>
      </c>
    </row>
    <row r="336" spans="1:11" x14ac:dyDescent="0.3">
      <c r="A336" t="s">
        <v>480</v>
      </c>
      <c r="B336" t="s">
        <v>481</v>
      </c>
      <c r="C336">
        <v>112</v>
      </c>
      <c r="D336" t="s">
        <v>28</v>
      </c>
      <c r="E336" s="1">
        <v>44839</v>
      </c>
      <c r="J336">
        <v>86</v>
      </c>
      <c r="K336">
        <v>93</v>
      </c>
    </row>
    <row r="337" spans="1:11" x14ac:dyDescent="0.3">
      <c r="A337" t="s">
        <v>360</v>
      </c>
      <c r="B337" t="s">
        <v>361</v>
      </c>
      <c r="C337">
        <v>104</v>
      </c>
      <c r="D337" t="s">
        <v>28</v>
      </c>
      <c r="E337" s="1">
        <v>45023</v>
      </c>
      <c r="J337">
        <v>76</v>
      </c>
      <c r="K337">
        <v>95</v>
      </c>
    </row>
    <row r="338" spans="1:11" x14ac:dyDescent="0.3">
      <c r="A338" t="s">
        <v>374</v>
      </c>
      <c r="B338" t="s">
        <v>375</v>
      </c>
      <c r="C338">
        <v>104</v>
      </c>
      <c r="D338" t="s">
        <v>25</v>
      </c>
      <c r="E338" s="1">
        <v>45737</v>
      </c>
      <c r="J338">
        <v>80</v>
      </c>
      <c r="K338">
        <v>94</v>
      </c>
    </row>
    <row r="339" spans="1:11" x14ac:dyDescent="0.3">
      <c r="A339" t="s">
        <v>260</v>
      </c>
      <c r="B339" t="s">
        <v>261</v>
      </c>
      <c r="C339">
        <v>119</v>
      </c>
      <c r="D339" t="s">
        <v>28</v>
      </c>
      <c r="E339" s="1">
        <v>44883</v>
      </c>
      <c r="J339">
        <v>87</v>
      </c>
      <c r="K339">
        <v>97</v>
      </c>
    </row>
    <row r="340" spans="1:11" x14ac:dyDescent="0.3">
      <c r="A340" t="s">
        <v>99</v>
      </c>
      <c r="B340" t="s">
        <v>100</v>
      </c>
      <c r="C340">
        <v>99</v>
      </c>
      <c r="D340" t="s">
        <v>15</v>
      </c>
      <c r="E340" s="1">
        <v>45086</v>
      </c>
      <c r="H340">
        <v>7.9489999999999998</v>
      </c>
      <c r="J340">
        <v>58</v>
      </c>
      <c r="K340">
        <v>67</v>
      </c>
    </row>
    <row r="341" spans="1:11" x14ac:dyDescent="0.3">
      <c r="A341" t="s">
        <v>1416</v>
      </c>
      <c r="B341" t="s">
        <v>1417</v>
      </c>
      <c r="C341">
        <v>115</v>
      </c>
      <c r="D341" t="s">
        <v>28</v>
      </c>
      <c r="E341" s="1">
        <v>45387</v>
      </c>
      <c r="H341">
        <v>7.9</v>
      </c>
      <c r="J341">
        <v>45</v>
      </c>
      <c r="K341">
        <v>59</v>
      </c>
    </row>
    <row r="342" spans="1:11" x14ac:dyDescent="0.3">
      <c r="A342" t="s">
        <v>1665</v>
      </c>
      <c r="B342" t="s">
        <v>1666</v>
      </c>
      <c r="C342">
        <v>126</v>
      </c>
      <c r="D342" t="s">
        <v>28</v>
      </c>
      <c r="E342" s="1">
        <v>44834</v>
      </c>
      <c r="H342">
        <v>7.5149999999999997</v>
      </c>
      <c r="J342">
        <v>39</v>
      </c>
      <c r="K342">
        <v>43</v>
      </c>
    </row>
    <row r="343" spans="1:11" x14ac:dyDescent="0.3">
      <c r="A343" t="s">
        <v>719</v>
      </c>
      <c r="B343" t="s">
        <v>720</v>
      </c>
      <c r="C343">
        <v>100</v>
      </c>
      <c r="D343" t="s">
        <v>12</v>
      </c>
      <c r="E343" s="1">
        <v>44673</v>
      </c>
      <c r="J343">
        <v>64</v>
      </c>
      <c r="K343">
        <v>87</v>
      </c>
    </row>
    <row r="344" spans="1:11" x14ac:dyDescent="0.3">
      <c r="A344" t="s">
        <v>1408</v>
      </c>
      <c r="B344" t="s">
        <v>1409</v>
      </c>
      <c r="C344">
        <v>105</v>
      </c>
      <c r="D344" t="s">
        <v>28</v>
      </c>
      <c r="E344" s="1">
        <v>45006</v>
      </c>
      <c r="J344">
        <v>52</v>
      </c>
      <c r="K344">
        <v>60</v>
      </c>
    </row>
    <row r="345" spans="1:11" x14ac:dyDescent="0.3">
      <c r="A345" t="s">
        <v>476</v>
      </c>
      <c r="B345" t="s">
        <v>477</v>
      </c>
      <c r="C345">
        <v>129</v>
      </c>
      <c r="D345" t="s">
        <v>15</v>
      </c>
      <c r="E345" s="1">
        <v>44869</v>
      </c>
      <c r="J345">
        <v>64</v>
      </c>
      <c r="K345">
        <v>93</v>
      </c>
    </row>
    <row r="346" spans="1:11" x14ac:dyDescent="0.3">
      <c r="A346" t="s">
        <v>1040</v>
      </c>
      <c r="B346" t="s">
        <v>1041</v>
      </c>
      <c r="C346">
        <v>103</v>
      </c>
      <c r="D346" t="s">
        <v>15</v>
      </c>
      <c r="E346" s="1">
        <v>45575</v>
      </c>
      <c r="J346">
        <v>55</v>
      </c>
      <c r="K346">
        <v>77</v>
      </c>
    </row>
    <row r="347" spans="1:11" x14ac:dyDescent="0.3">
      <c r="A347" t="s">
        <v>1086</v>
      </c>
      <c r="B347" t="s">
        <v>1087</v>
      </c>
      <c r="C347">
        <v>91</v>
      </c>
      <c r="D347" t="s">
        <v>15</v>
      </c>
      <c r="E347" s="1">
        <v>45184</v>
      </c>
      <c r="J347">
        <v>55</v>
      </c>
      <c r="K347">
        <v>76</v>
      </c>
    </row>
    <row r="348" spans="1:11" x14ac:dyDescent="0.3">
      <c r="A348" t="s">
        <v>262</v>
      </c>
      <c r="B348" t="s">
        <v>263</v>
      </c>
      <c r="C348">
        <v>115</v>
      </c>
      <c r="D348" t="s">
        <v>15</v>
      </c>
      <c r="E348" s="1">
        <v>44869</v>
      </c>
      <c r="J348">
        <v>69</v>
      </c>
      <c r="K348">
        <v>97</v>
      </c>
    </row>
    <row r="349" spans="1:11" x14ac:dyDescent="0.3">
      <c r="A349" t="s">
        <v>751</v>
      </c>
      <c r="B349" t="s">
        <v>752</v>
      </c>
      <c r="C349">
        <v>87</v>
      </c>
      <c r="D349" t="s">
        <v>15</v>
      </c>
      <c r="E349" s="1">
        <v>45149</v>
      </c>
      <c r="J349">
        <v>57</v>
      </c>
      <c r="K349">
        <v>86</v>
      </c>
    </row>
    <row r="350" spans="1:11" x14ac:dyDescent="0.3">
      <c r="A350" t="s">
        <v>858</v>
      </c>
      <c r="B350" t="s">
        <v>859</v>
      </c>
      <c r="C350">
        <v>110</v>
      </c>
      <c r="D350" t="s">
        <v>28</v>
      </c>
      <c r="E350" s="1">
        <v>45548</v>
      </c>
      <c r="J350">
        <v>66</v>
      </c>
      <c r="K350">
        <v>83</v>
      </c>
    </row>
    <row r="351" spans="1:11" x14ac:dyDescent="0.3">
      <c r="A351" t="s">
        <v>1270</v>
      </c>
      <c r="B351" t="s">
        <v>1271</v>
      </c>
      <c r="C351">
        <v>122</v>
      </c>
      <c r="D351" t="s">
        <v>28</v>
      </c>
      <c r="E351" s="1">
        <v>45401</v>
      </c>
      <c r="J351">
        <v>55</v>
      </c>
      <c r="K351">
        <v>68</v>
      </c>
    </row>
    <row r="352" spans="1:11" x14ac:dyDescent="0.3">
      <c r="A352" t="s">
        <v>922</v>
      </c>
      <c r="B352" t="s">
        <v>923</v>
      </c>
      <c r="C352">
        <v>131</v>
      </c>
      <c r="D352" t="s">
        <v>28</v>
      </c>
      <c r="E352" s="1">
        <v>44888</v>
      </c>
      <c r="J352">
        <v>74</v>
      </c>
      <c r="K352">
        <v>82</v>
      </c>
    </row>
    <row r="353" spans="1:11" x14ac:dyDescent="0.3">
      <c r="A353" t="s">
        <v>950</v>
      </c>
      <c r="B353" t="s">
        <v>951</v>
      </c>
      <c r="C353">
        <v>141</v>
      </c>
      <c r="D353" t="s">
        <v>15</v>
      </c>
      <c r="E353" s="1">
        <v>45285</v>
      </c>
      <c r="J353">
        <v>72</v>
      </c>
      <c r="K353">
        <v>81</v>
      </c>
    </row>
    <row r="354" spans="1:11" x14ac:dyDescent="0.3">
      <c r="A354" t="s">
        <v>338</v>
      </c>
      <c r="B354" t="s">
        <v>339</v>
      </c>
      <c r="C354">
        <v>131</v>
      </c>
      <c r="D354" t="s">
        <v>63</v>
      </c>
      <c r="E354" s="1">
        <v>45541</v>
      </c>
      <c r="J354">
        <v>76</v>
      </c>
      <c r="K354">
        <v>95</v>
      </c>
    </row>
    <row r="355" spans="1:11" x14ac:dyDescent="0.3">
      <c r="A355" t="s">
        <v>503</v>
      </c>
      <c r="B355" t="s">
        <v>504</v>
      </c>
      <c r="C355">
        <v>99</v>
      </c>
      <c r="D355" t="s">
        <v>12</v>
      </c>
      <c r="E355" s="1">
        <v>45604</v>
      </c>
      <c r="J355">
        <v>60</v>
      </c>
      <c r="K355">
        <v>92</v>
      </c>
    </row>
    <row r="356" spans="1:11" x14ac:dyDescent="0.3">
      <c r="A356" t="s">
        <v>626</v>
      </c>
      <c r="B356" t="s">
        <v>627</v>
      </c>
      <c r="C356">
        <v>121</v>
      </c>
      <c r="D356" t="s">
        <v>28</v>
      </c>
      <c r="E356" s="1">
        <v>45387</v>
      </c>
      <c r="J356">
        <v>70</v>
      </c>
      <c r="K356">
        <v>89</v>
      </c>
    </row>
    <row r="357" spans="1:11" x14ac:dyDescent="0.3">
      <c r="A357" t="s">
        <v>55</v>
      </c>
      <c r="B357" t="s">
        <v>56</v>
      </c>
      <c r="C357">
        <v>130</v>
      </c>
      <c r="D357" t="s">
        <v>28</v>
      </c>
      <c r="E357" s="1">
        <v>44848</v>
      </c>
      <c r="J357">
        <v>75</v>
      </c>
      <c r="K357">
        <v>87</v>
      </c>
    </row>
    <row r="358" spans="1:11" x14ac:dyDescent="0.3">
      <c r="A358" t="s">
        <v>1138</v>
      </c>
      <c r="B358" t="s">
        <v>1139</v>
      </c>
      <c r="C358">
        <v>121</v>
      </c>
      <c r="D358" t="s">
        <v>28</v>
      </c>
      <c r="E358" s="1">
        <v>44860</v>
      </c>
      <c r="J358">
        <v>65</v>
      </c>
      <c r="K358">
        <v>74</v>
      </c>
    </row>
    <row r="359" spans="1:11" x14ac:dyDescent="0.3">
      <c r="A359" t="s">
        <v>533</v>
      </c>
      <c r="B359" t="s">
        <v>534</v>
      </c>
      <c r="C359">
        <v>83</v>
      </c>
      <c r="D359" t="s">
        <v>25</v>
      </c>
      <c r="E359" s="1">
        <v>44728</v>
      </c>
      <c r="J359">
        <v>80</v>
      </c>
      <c r="K359">
        <v>92</v>
      </c>
    </row>
    <row r="360" spans="1:11" x14ac:dyDescent="0.3">
      <c r="A360" t="s">
        <v>785</v>
      </c>
      <c r="B360" t="s">
        <v>786</v>
      </c>
      <c r="C360">
        <v>104</v>
      </c>
      <c r="D360" t="s">
        <v>28</v>
      </c>
      <c r="E360" s="1">
        <v>45373</v>
      </c>
      <c r="J360">
        <v>68</v>
      </c>
      <c r="K360">
        <v>85</v>
      </c>
    </row>
    <row r="361" spans="1:11" x14ac:dyDescent="0.3">
      <c r="A361" t="s">
        <v>936</v>
      </c>
      <c r="B361" t="s">
        <v>937</v>
      </c>
      <c r="C361">
        <v>110</v>
      </c>
      <c r="D361" t="s">
        <v>28</v>
      </c>
      <c r="E361" s="1">
        <v>45730</v>
      </c>
      <c r="J361">
        <v>60</v>
      </c>
      <c r="K361">
        <v>81</v>
      </c>
    </row>
    <row r="362" spans="1:11" x14ac:dyDescent="0.3">
      <c r="A362" t="s">
        <v>340</v>
      </c>
      <c r="B362" t="s">
        <v>341</v>
      </c>
      <c r="C362">
        <v>115</v>
      </c>
      <c r="D362" t="s">
        <v>28</v>
      </c>
      <c r="E362" s="1">
        <v>45450</v>
      </c>
      <c r="J362">
        <v>82</v>
      </c>
      <c r="K362">
        <v>95</v>
      </c>
    </row>
    <row r="363" spans="1:11" x14ac:dyDescent="0.3">
      <c r="A363" t="s">
        <v>974</v>
      </c>
      <c r="B363" t="s">
        <v>975</v>
      </c>
      <c r="C363">
        <v>107</v>
      </c>
      <c r="D363" t="s">
        <v>15</v>
      </c>
      <c r="E363" s="1">
        <v>45583</v>
      </c>
      <c r="J363">
        <v>70</v>
      </c>
      <c r="K363">
        <v>80</v>
      </c>
    </row>
    <row r="364" spans="1:11" x14ac:dyDescent="0.3">
      <c r="A364" t="s">
        <v>1424</v>
      </c>
      <c r="B364" t="s">
        <v>1425</v>
      </c>
      <c r="C364">
        <v>124</v>
      </c>
      <c r="D364" t="s">
        <v>15</v>
      </c>
      <c r="E364" s="1">
        <v>44995</v>
      </c>
      <c r="J364">
        <v>50</v>
      </c>
      <c r="K364">
        <v>59</v>
      </c>
    </row>
    <row r="365" spans="1:11" x14ac:dyDescent="0.3">
      <c r="A365" t="s">
        <v>614</v>
      </c>
      <c r="B365" t="s">
        <v>615</v>
      </c>
      <c r="C365">
        <v>106</v>
      </c>
      <c r="D365" t="s">
        <v>28</v>
      </c>
      <c r="E365" s="1">
        <v>45744</v>
      </c>
      <c r="J365">
        <v>63</v>
      </c>
      <c r="K365">
        <v>89</v>
      </c>
    </row>
    <row r="366" spans="1:11" x14ac:dyDescent="0.3">
      <c r="A366" t="s">
        <v>466</v>
      </c>
      <c r="B366" t="s">
        <v>467</v>
      </c>
      <c r="C366">
        <v>93</v>
      </c>
      <c r="D366" t="s">
        <v>12</v>
      </c>
      <c r="E366" s="1">
        <v>45210</v>
      </c>
      <c r="J366">
        <v>76</v>
      </c>
      <c r="K366">
        <v>93</v>
      </c>
    </row>
    <row r="367" spans="1:11" x14ac:dyDescent="0.3">
      <c r="A367" t="s">
        <v>1635</v>
      </c>
      <c r="B367" t="s">
        <v>1636</v>
      </c>
      <c r="C367">
        <v>134</v>
      </c>
      <c r="D367" t="s">
        <v>28</v>
      </c>
      <c r="E367" s="1">
        <v>45198</v>
      </c>
      <c r="J367">
        <v>52</v>
      </c>
      <c r="K367">
        <v>44</v>
      </c>
    </row>
    <row r="368" spans="1:11" x14ac:dyDescent="0.3">
      <c r="A368" t="s">
        <v>450</v>
      </c>
      <c r="B368" t="s">
        <v>451</v>
      </c>
      <c r="C368">
        <v>98</v>
      </c>
      <c r="D368" t="s">
        <v>15</v>
      </c>
      <c r="E368" s="1">
        <v>45604</v>
      </c>
      <c r="J368">
        <v>82</v>
      </c>
      <c r="K368">
        <v>93</v>
      </c>
    </row>
    <row r="369" spans="1:11" x14ac:dyDescent="0.3">
      <c r="A369" t="s">
        <v>554</v>
      </c>
      <c r="B369" t="s">
        <v>555</v>
      </c>
      <c r="C369">
        <v>102</v>
      </c>
      <c r="D369" t="s">
        <v>28</v>
      </c>
      <c r="E369" s="1">
        <v>45252</v>
      </c>
      <c r="J369">
        <v>74</v>
      </c>
      <c r="K369">
        <v>91</v>
      </c>
    </row>
    <row r="370" spans="1:11" x14ac:dyDescent="0.3">
      <c r="A370" t="s">
        <v>434</v>
      </c>
      <c r="B370" t="s">
        <v>435</v>
      </c>
      <c r="C370">
        <v>116</v>
      </c>
      <c r="D370" t="s">
        <v>28</v>
      </c>
      <c r="E370" s="1">
        <v>45765</v>
      </c>
      <c r="J370">
        <v>75</v>
      </c>
      <c r="K370">
        <v>93</v>
      </c>
    </row>
    <row r="371" spans="1:11" x14ac:dyDescent="0.3">
      <c r="A371" t="s">
        <v>932</v>
      </c>
      <c r="B371" t="s">
        <v>933</v>
      </c>
      <c r="C371">
        <v>107</v>
      </c>
      <c r="D371" t="s">
        <v>28</v>
      </c>
      <c r="E371" s="1">
        <v>44771</v>
      </c>
      <c r="J371">
        <v>65</v>
      </c>
      <c r="K371">
        <v>82</v>
      </c>
    </row>
    <row r="372" spans="1:11" x14ac:dyDescent="0.3">
      <c r="A372" t="s">
        <v>709</v>
      </c>
      <c r="B372" t="s">
        <v>710</v>
      </c>
      <c r="C372">
        <v>99</v>
      </c>
      <c r="D372" t="s">
        <v>28</v>
      </c>
      <c r="E372" s="1">
        <v>44827</v>
      </c>
      <c r="J372">
        <v>73</v>
      </c>
      <c r="K372">
        <v>87</v>
      </c>
    </row>
    <row r="373" spans="1:11" x14ac:dyDescent="0.3">
      <c r="A373" t="s">
        <v>552</v>
      </c>
      <c r="B373" t="s">
        <v>553</v>
      </c>
      <c r="C373">
        <v>117</v>
      </c>
      <c r="D373" t="s">
        <v>28</v>
      </c>
      <c r="E373" s="1">
        <v>45261</v>
      </c>
      <c r="J373">
        <v>86</v>
      </c>
      <c r="K373">
        <v>91</v>
      </c>
    </row>
    <row r="374" spans="1:11" x14ac:dyDescent="0.3">
      <c r="A374" t="s">
        <v>64</v>
      </c>
      <c r="B374" t="s">
        <v>65</v>
      </c>
      <c r="C374">
        <v>96</v>
      </c>
      <c r="D374" t="s">
        <v>15</v>
      </c>
      <c r="E374" s="1">
        <v>45001</v>
      </c>
      <c r="J374">
        <v>68</v>
      </c>
      <c r="K374">
        <v>84</v>
      </c>
    </row>
    <row r="375" spans="1:11" x14ac:dyDescent="0.3">
      <c r="A375" t="s">
        <v>743</v>
      </c>
      <c r="B375" t="s">
        <v>744</v>
      </c>
      <c r="C375">
        <v>189</v>
      </c>
      <c r="D375" t="s">
        <v>25</v>
      </c>
      <c r="E375" s="1">
        <v>45275</v>
      </c>
      <c r="J375">
        <v>85</v>
      </c>
      <c r="K375">
        <v>86</v>
      </c>
    </row>
    <row r="376" spans="1:11" x14ac:dyDescent="0.3">
      <c r="A376" t="s">
        <v>114</v>
      </c>
      <c r="B376" t="s">
        <v>115</v>
      </c>
      <c r="C376">
        <v>114</v>
      </c>
      <c r="D376" t="s">
        <v>28</v>
      </c>
      <c r="E376" s="1">
        <v>45534</v>
      </c>
      <c r="J376">
        <v>14</v>
      </c>
      <c r="K376">
        <v>50</v>
      </c>
    </row>
    <row r="377" spans="1:11" x14ac:dyDescent="0.3">
      <c r="A377" t="s">
        <v>525</v>
      </c>
      <c r="B377" t="s">
        <v>526</v>
      </c>
      <c r="C377">
        <v>106</v>
      </c>
      <c r="D377" t="s">
        <v>28</v>
      </c>
      <c r="E377" s="1">
        <v>45037</v>
      </c>
      <c r="J377">
        <v>61</v>
      </c>
      <c r="K377">
        <v>92</v>
      </c>
    </row>
    <row r="378" spans="1:11" x14ac:dyDescent="0.3">
      <c r="A378" t="s">
        <v>366</v>
      </c>
      <c r="B378" t="s">
        <v>367</v>
      </c>
      <c r="C378">
        <v>122</v>
      </c>
      <c r="D378" t="s">
        <v>15</v>
      </c>
      <c r="E378" s="1">
        <v>44888</v>
      </c>
      <c r="J378">
        <v>91</v>
      </c>
      <c r="K378">
        <v>95</v>
      </c>
    </row>
    <row r="379" spans="1:11" x14ac:dyDescent="0.3">
      <c r="A379" t="s">
        <v>928</v>
      </c>
      <c r="B379" t="s">
        <v>929</v>
      </c>
      <c r="C379">
        <v>100</v>
      </c>
      <c r="D379" t="s">
        <v>28</v>
      </c>
      <c r="E379" s="1">
        <v>44831</v>
      </c>
      <c r="J379">
        <v>79</v>
      </c>
      <c r="K379">
        <v>82</v>
      </c>
    </row>
    <row r="380" spans="1:11" x14ac:dyDescent="0.3">
      <c r="A380" t="s">
        <v>82</v>
      </c>
      <c r="B380" t="s">
        <v>83</v>
      </c>
      <c r="C380">
        <v>116</v>
      </c>
      <c r="D380" t="s">
        <v>15</v>
      </c>
      <c r="E380" s="1">
        <v>45673</v>
      </c>
      <c r="J380">
        <v>64</v>
      </c>
      <c r="K380">
        <v>77</v>
      </c>
    </row>
    <row r="381" spans="1:11" x14ac:dyDescent="0.3">
      <c r="A381" t="s">
        <v>1815</v>
      </c>
      <c r="B381" t="s">
        <v>1816</v>
      </c>
      <c r="C381">
        <v>122</v>
      </c>
      <c r="D381" t="s">
        <v>90</v>
      </c>
      <c r="E381" s="1">
        <v>44771</v>
      </c>
      <c r="H381">
        <v>8.0500000000000007</v>
      </c>
      <c r="J381">
        <v>30</v>
      </c>
      <c r="K381">
        <v>32</v>
      </c>
    </row>
    <row r="382" spans="1:11" x14ac:dyDescent="0.3">
      <c r="A382" t="s">
        <v>1637</v>
      </c>
      <c r="B382" t="s">
        <v>1638</v>
      </c>
      <c r="C382">
        <v>126</v>
      </c>
      <c r="D382" t="s">
        <v>12</v>
      </c>
      <c r="E382" s="1">
        <v>45163</v>
      </c>
      <c r="H382">
        <v>7.7</v>
      </c>
      <c r="J382">
        <v>48</v>
      </c>
      <c r="K382">
        <v>44</v>
      </c>
    </row>
    <row r="383" spans="1:11" x14ac:dyDescent="0.3">
      <c r="A383" t="s">
        <v>1462</v>
      </c>
      <c r="B383" t="s">
        <v>1463</v>
      </c>
      <c r="C383">
        <v>127</v>
      </c>
      <c r="D383" t="s">
        <v>15</v>
      </c>
      <c r="E383" s="1">
        <v>45646</v>
      </c>
      <c r="H383">
        <v>7.5229999999999997</v>
      </c>
      <c r="J383">
        <v>51</v>
      </c>
      <c r="K383">
        <v>56</v>
      </c>
    </row>
    <row r="384" spans="1:11" x14ac:dyDescent="0.3">
      <c r="A384" t="s">
        <v>144</v>
      </c>
      <c r="B384" t="s">
        <v>145</v>
      </c>
      <c r="C384">
        <v>114</v>
      </c>
      <c r="D384" t="s">
        <v>15</v>
      </c>
      <c r="E384" s="1">
        <v>44806</v>
      </c>
      <c r="J384">
        <v>45</v>
      </c>
      <c r="K384">
        <v>19</v>
      </c>
    </row>
    <row r="385" spans="1:11" x14ac:dyDescent="0.3">
      <c r="A385" t="s">
        <v>57</v>
      </c>
      <c r="B385" t="s">
        <v>58</v>
      </c>
      <c r="C385">
        <v>121</v>
      </c>
      <c r="D385" t="s">
        <v>28</v>
      </c>
      <c r="E385" s="1">
        <v>45401</v>
      </c>
      <c r="J385">
        <v>77</v>
      </c>
      <c r="K385">
        <v>86</v>
      </c>
    </row>
    <row r="386" spans="1:11" x14ac:dyDescent="0.3">
      <c r="A386" t="s">
        <v>733</v>
      </c>
      <c r="B386" t="s">
        <v>734</v>
      </c>
      <c r="C386">
        <v>97</v>
      </c>
      <c r="D386" t="s">
        <v>12</v>
      </c>
      <c r="E386" s="1">
        <v>45520</v>
      </c>
      <c r="J386">
        <v>70</v>
      </c>
      <c r="K386">
        <v>86</v>
      </c>
    </row>
    <row r="387" spans="1:11" x14ac:dyDescent="0.3">
      <c r="A387" t="s">
        <v>444</v>
      </c>
      <c r="B387" t="s">
        <v>445</v>
      </c>
      <c r="C387">
        <v>109</v>
      </c>
      <c r="D387" t="s">
        <v>15</v>
      </c>
      <c r="E387" s="1">
        <v>45651</v>
      </c>
      <c r="J387">
        <v>76</v>
      </c>
      <c r="K387">
        <v>93</v>
      </c>
    </row>
    <row r="388" spans="1:11" x14ac:dyDescent="0.3">
      <c r="A388" t="s">
        <v>875</v>
      </c>
      <c r="B388" t="s">
        <v>876</v>
      </c>
      <c r="C388">
        <v>173</v>
      </c>
      <c r="D388" t="s">
        <v>18</v>
      </c>
      <c r="E388" s="1">
        <v>44948</v>
      </c>
      <c r="J388">
        <v>56</v>
      </c>
      <c r="K388">
        <v>83</v>
      </c>
    </row>
    <row r="389" spans="1:11" x14ac:dyDescent="0.3">
      <c r="A389" t="s">
        <v>1710</v>
      </c>
      <c r="B389" t="s">
        <v>1711</v>
      </c>
      <c r="C389">
        <v>117</v>
      </c>
      <c r="D389" t="s">
        <v>12</v>
      </c>
      <c r="E389" s="1">
        <v>44883</v>
      </c>
      <c r="J389">
        <v>40</v>
      </c>
      <c r="K389">
        <v>40</v>
      </c>
    </row>
    <row r="390" spans="1:11" x14ac:dyDescent="0.3">
      <c r="A390" t="s">
        <v>1136</v>
      </c>
      <c r="B390" t="s">
        <v>1137</v>
      </c>
      <c r="C390">
        <v>112</v>
      </c>
      <c r="D390" t="s">
        <v>28</v>
      </c>
      <c r="E390" s="1">
        <v>44897</v>
      </c>
      <c r="J390">
        <v>55</v>
      </c>
      <c r="K390">
        <v>74</v>
      </c>
    </row>
    <row r="391" spans="1:11" x14ac:dyDescent="0.3">
      <c r="A391" t="s">
        <v>900</v>
      </c>
      <c r="B391" t="s">
        <v>901</v>
      </c>
      <c r="C391">
        <v>112</v>
      </c>
      <c r="D391" t="s">
        <v>12</v>
      </c>
      <c r="E391" s="1">
        <v>45394</v>
      </c>
      <c r="J391">
        <v>65</v>
      </c>
      <c r="K391">
        <v>82</v>
      </c>
    </row>
    <row r="392" spans="1:11" x14ac:dyDescent="0.3">
      <c r="A392" t="s">
        <v>791</v>
      </c>
      <c r="B392" t="s">
        <v>792</v>
      </c>
      <c r="C392">
        <v>103</v>
      </c>
      <c r="D392" t="s">
        <v>28</v>
      </c>
      <c r="E392" s="1">
        <v>45296</v>
      </c>
      <c r="J392">
        <v>71</v>
      </c>
      <c r="K392">
        <v>85</v>
      </c>
    </row>
    <row r="393" spans="1:11" x14ac:dyDescent="0.3">
      <c r="A393" t="s">
        <v>641</v>
      </c>
      <c r="B393" t="s">
        <v>642</v>
      </c>
      <c r="C393">
        <v>116</v>
      </c>
      <c r="D393" t="s">
        <v>15</v>
      </c>
      <c r="E393" s="1">
        <v>44988</v>
      </c>
      <c r="J393">
        <v>73</v>
      </c>
      <c r="K393">
        <v>89</v>
      </c>
    </row>
    <row r="394" spans="1:11" x14ac:dyDescent="0.3">
      <c r="A394" t="s">
        <v>430</v>
      </c>
      <c r="B394" t="s">
        <v>431</v>
      </c>
      <c r="C394">
        <v>105</v>
      </c>
      <c r="D394" t="s">
        <v>28</v>
      </c>
      <c r="E394" s="1">
        <v>44715</v>
      </c>
      <c r="J394">
        <v>72</v>
      </c>
      <c r="K394">
        <v>94</v>
      </c>
    </row>
    <row r="395" spans="1:11" x14ac:dyDescent="0.3">
      <c r="A395" t="s">
        <v>1398</v>
      </c>
      <c r="B395" t="s">
        <v>1399</v>
      </c>
      <c r="C395">
        <v>100</v>
      </c>
      <c r="D395" t="s">
        <v>12</v>
      </c>
      <c r="E395" s="1">
        <v>45623</v>
      </c>
      <c r="J395">
        <v>58</v>
      </c>
      <c r="K395">
        <v>60</v>
      </c>
    </row>
    <row r="396" spans="1:11" x14ac:dyDescent="0.3">
      <c r="A396" t="s">
        <v>934</v>
      </c>
      <c r="B396" t="s">
        <v>935</v>
      </c>
      <c r="C396">
        <v>114</v>
      </c>
      <c r="D396" t="s">
        <v>28</v>
      </c>
      <c r="E396" s="1">
        <v>44624</v>
      </c>
      <c r="J396">
        <v>67</v>
      </c>
      <c r="K396">
        <v>82</v>
      </c>
    </row>
    <row r="397" spans="1:11" x14ac:dyDescent="0.3">
      <c r="A397" t="s">
        <v>1106</v>
      </c>
      <c r="B397" t="s">
        <v>1107</v>
      </c>
      <c r="C397">
        <v>105</v>
      </c>
      <c r="D397" t="s">
        <v>15</v>
      </c>
      <c r="E397" s="1">
        <v>45541</v>
      </c>
      <c r="J397">
        <v>62</v>
      </c>
      <c r="K397">
        <v>75</v>
      </c>
    </row>
    <row r="398" spans="1:11" x14ac:dyDescent="0.3">
      <c r="A398" t="s">
        <v>630</v>
      </c>
      <c r="B398" t="s">
        <v>631</v>
      </c>
      <c r="C398">
        <v>89</v>
      </c>
      <c r="D398" t="s">
        <v>632</v>
      </c>
      <c r="E398" s="1">
        <v>45302</v>
      </c>
      <c r="J398">
        <v>72</v>
      </c>
      <c r="K398">
        <v>89</v>
      </c>
    </row>
    <row r="399" spans="1:11" x14ac:dyDescent="0.3">
      <c r="A399" t="s">
        <v>16</v>
      </c>
      <c r="B399" t="s">
        <v>17</v>
      </c>
      <c r="C399">
        <v>121</v>
      </c>
      <c r="D399" t="s">
        <v>18</v>
      </c>
      <c r="E399" s="1">
        <v>45021</v>
      </c>
      <c r="J399">
        <v>79</v>
      </c>
      <c r="K399">
        <v>98</v>
      </c>
    </row>
    <row r="400" spans="1:11" x14ac:dyDescent="0.3">
      <c r="A400" t="s">
        <v>515</v>
      </c>
      <c r="B400" t="s">
        <v>516</v>
      </c>
      <c r="C400">
        <v>97</v>
      </c>
      <c r="D400" t="s">
        <v>160</v>
      </c>
      <c r="E400" s="1">
        <v>45268</v>
      </c>
      <c r="J400">
        <v>65</v>
      </c>
      <c r="K400">
        <v>92</v>
      </c>
    </row>
    <row r="401" spans="1:11" x14ac:dyDescent="0.3">
      <c r="A401" t="s">
        <v>1232</v>
      </c>
      <c r="B401" t="s">
        <v>1233</v>
      </c>
      <c r="C401">
        <v>108</v>
      </c>
      <c r="D401" t="s">
        <v>28</v>
      </c>
      <c r="E401" s="1">
        <v>44799</v>
      </c>
      <c r="J401">
        <v>60</v>
      </c>
      <c r="K401">
        <v>71</v>
      </c>
    </row>
    <row r="402" spans="1:11" x14ac:dyDescent="0.3">
      <c r="A402" t="s">
        <v>1278</v>
      </c>
      <c r="B402" t="s">
        <v>1279</v>
      </c>
      <c r="C402">
        <v>116</v>
      </c>
      <c r="D402" t="s">
        <v>28</v>
      </c>
      <c r="E402" s="1">
        <v>44974</v>
      </c>
      <c r="J402">
        <v>65</v>
      </c>
      <c r="K402">
        <v>68</v>
      </c>
    </row>
    <row r="403" spans="1:11" x14ac:dyDescent="0.3">
      <c r="A403" t="s">
        <v>767</v>
      </c>
      <c r="B403" t="s">
        <v>768</v>
      </c>
      <c r="C403">
        <v>129</v>
      </c>
      <c r="D403" t="s">
        <v>28</v>
      </c>
      <c r="E403" s="1">
        <v>44678</v>
      </c>
      <c r="J403">
        <v>71</v>
      </c>
      <c r="K403">
        <v>86</v>
      </c>
    </row>
    <row r="404" spans="1:11" x14ac:dyDescent="0.3">
      <c r="A404" t="s">
        <v>436</v>
      </c>
      <c r="B404" t="s">
        <v>437</v>
      </c>
      <c r="C404">
        <v>106</v>
      </c>
      <c r="D404" t="s">
        <v>12</v>
      </c>
      <c r="E404" s="1">
        <v>45702</v>
      </c>
      <c r="J404">
        <v>65</v>
      </c>
      <c r="K404">
        <v>93</v>
      </c>
    </row>
    <row r="405" spans="1:11" x14ac:dyDescent="0.3">
      <c r="A405" t="s">
        <v>1532</v>
      </c>
      <c r="B405" t="s">
        <v>1533</v>
      </c>
      <c r="C405">
        <v>181</v>
      </c>
      <c r="D405" t="s">
        <v>28</v>
      </c>
      <c r="E405" s="1">
        <v>45471</v>
      </c>
      <c r="J405">
        <v>49</v>
      </c>
      <c r="K405">
        <v>51</v>
      </c>
    </row>
    <row r="406" spans="1:11" x14ac:dyDescent="0.3">
      <c r="A406" t="s">
        <v>547</v>
      </c>
      <c r="B406" t="s">
        <v>548</v>
      </c>
      <c r="C406">
        <v>91</v>
      </c>
      <c r="D406" t="s">
        <v>28</v>
      </c>
      <c r="E406" s="1">
        <v>45336</v>
      </c>
      <c r="J406">
        <v>74</v>
      </c>
      <c r="K406">
        <v>91</v>
      </c>
    </row>
    <row r="407" spans="1:11" x14ac:dyDescent="0.3">
      <c r="A407" t="s">
        <v>1280</v>
      </c>
      <c r="B407" t="s">
        <v>1281</v>
      </c>
      <c r="C407">
        <v>131</v>
      </c>
      <c r="D407" t="s">
        <v>18</v>
      </c>
      <c r="E407" s="1">
        <v>44897</v>
      </c>
      <c r="J407">
        <v>55</v>
      </c>
      <c r="K407">
        <v>68</v>
      </c>
    </row>
    <row r="408" spans="1:11" x14ac:dyDescent="0.3">
      <c r="A408" t="s">
        <v>798</v>
      </c>
      <c r="B408" t="s">
        <v>799</v>
      </c>
      <c r="C408">
        <v>103</v>
      </c>
      <c r="D408" t="s">
        <v>25</v>
      </c>
      <c r="E408" s="1">
        <v>45058</v>
      </c>
      <c r="J408">
        <v>68</v>
      </c>
      <c r="K408">
        <v>85</v>
      </c>
    </row>
    <row r="409" spans="1:11" x14ac:dyDescent="0.3">
      <c r="A409" t="s">
        <v>1296</v>
      </c>
      <c r="B409" t="s">
        <v>1297</v>
      </c>
      <c r="C409">
        <v>179</v>
      </c>
      <c r="D409" t="s">
        <v>28</v>
      </c>
      <c r="E409" s="1">
        <v>45037</v>
      </c>
      <c r="J409">
        <v>63</v>
      </c>
      <c r="K409">
        <v>67</v>
      </c>
    </row>
    <row r="410" spans="1:11" x14ac:dyDescent="0.3">
      <c r="A410" t="s">
        <v>35</v>
      </c>
      <c r="B410" t="s">
        <v>36</v>
      </c>
      <c r="C410">
        <v>95</v>
      </c>
      <c r="D410" t="s">
        <v>18</v>
      </c>
      <c r="E410" s="1">
        <v>44624</v>
      </c>
      <c r="J410">
        <v>75</v>
      </c>
      <c r="K410">
        <v>94</v>
      </c>
    </row>
    <row r="411" spans="1:11" x14ac:dyDescent="0.3">
      <c r="A411" t="s">
        <v>250</v>
      </c>
      <c r="B411" t="s">
        <v>251</v>
      </c>
      <c r="C411">
        <v>117</v>
      </c>
      <c r="D411" t="s">
        <v>15</v>
      </c>
      <c r="E411" s="1">
        <v>45204</v>
      </c>
      <c r="J411">
        <v>76</v>
      </c>
      <c r="K411">
        <v>97</v>
      </c>
    </row>
    <row r="412" spans="1:11" x14ac:dyDescent="0.3">
      <c r="A412" t="s">
        <v>1514</v>
      </c>
      <c r="B412" t="s">
        <v>1515</v>
      </c>
      <c r="C412">
        <v>134</v>
      </c>
      <c r="D412" t="s">
        <v>25</v>
      </c>
      <c r="E412" s="1">
        <v>44820</v>
      </c>
      <c r="J412">
        <v>42</v>
      </c>
      <c r="K412">
        <v>54</v>
      </c>
    </row>
    <row r="413" spans="1:11" x14ac:dyDescent="0.3">
      <c r="A413" t="s">
        <v>368</v>
      </c>
      <c r="B413" t="s">
        <v>369</v>
      </c>
      <c r="C413">
        <v>81</v>
      </c>
      <c r="D413" t="s">
        <v>12</v>
      </c>
      <c r="E413" s="1">
        <v>44838</v>
      </c>
      <c r="J413">
        <v>78</v>
      </c>
      <c r="K413">
        <v>95</v>
      </c>
    </row>
    <row r="414" spans="1:11" x14ac:dyDescent="0.3">
      <c r="A414" t="s">
        <v>484</v>
      </c>
      <c r="B414" t="s">
        <v>485</v>
      </c>
      <c r="C414">
        <v>97</v>
      </c>
      <c r="D414" t="s">
        <v>28</v>
      </c>
      <c r="E414" s="1">
        <v>44785</v>
      </c>
      <c r="J414">
        <v>75</v>
      </c>
      <c r="K414">
        <v>93</v>
      </c>
    </row>
    <row r="415" spans="1:11" x14ac:dyDescent="0.3">
      <c r="A415" t="s">
        <v>282</v>
      </c>
      <c r="B415" t="s">
        <v>283</v>
      </c>
      <c r="C415">
        <v>98</v>
      </c>
      <c r="D415" t="s">
        <v>28</v>
      </c>
      <c r="E415" s="1">
        <v>45492</v>
      </c>
      <c r="J415">
        <v>78</v>
      </c>
      <c r="K415">
        <v>96</v>
      </c>
    </row>
    <row r="416" spans="1:11" x14ac:dyDescent="0.3">
      <c r="A416" t="s">
        <v>731</v>
      </c>
      <c r="B416" t="s">
        <v>732</v>
      </c>
      <c r="C416">
        <v>127</v>
      </c>
      <c r="D416" t="s">
        <v>28</v>
      </c>
      <c r="E416" s="1">
        <v>45583</v>
      </c>
      <c r="J416">
        <v>67</v>
      </c>
      <c r="K416">
        <v>86</v>
      </c>
    </row>
    <row r="417" spans="1:11" x14ac:dyDescent="0.3">
      <c r="A417" t="s">
        <v>1639</v>
      </c>
      <c r="B417" t="s">
        <v>1640</v>
      </c>
      <c r="C417">
        <v>115</v>
      </c>
      <c r="D417" t="s">
        <v>28</v>
      </c>
      <c r="E417" s="1">
        <v>44904</v>
      </c>
      <c r="J417">
        <v>54</v>
      </c>
      <c r="K417">
        <v>44</v>
      </c>
    </row>
    <row r="418" spans="1:11" x14ac:dyDescent="0.3">
      <c r="A418" t="s">
        <v>1046</v>
      </c>
      <c r="B418" t="s">
        <v>1047</v>
      </c>
      <c r="C418">
        <v>122</v>
      </c>
      <c r="D418" t="s">
        <v>28</v>
      </c>
      <c r="E418" s="1">
        <v>45086</v>
      </c>
      <c r="J418">
        <v>56</v>
      </c>
      <c r="K418">
        <v>77</v>
      </c>
    </row>
    <row r="419" spans="1:11" x14ac:dyDescent="0.3">
      <c r="A419" t="s">
        <v>306</v>
      </c>
      <c r="B419" t="s">
        <v>307</v>
      </c>
      <c r="C419">
        <v>88</v>
      </c>
      <c r="D419" t="s">
        <v>18</v>
      </c>
      <c r="E419" s="1">
        <v>44947</v>
      </c>
      <c r="J419">
        <v>85</v>
      </c>
      <c r="K419">
        <v>96</v>
      </c>
    </row>
    <row r="420" spans="1:11" x14ac:dyDescent="0.3">
      <c r="A420" t="s">
        <v>1050</v>
      </c>
      <c r="B420" t="s">
        <v>1051</v>
      </c>
      <c r="C420">
        <v>108</v>
      </c>
      <c r="D420" t="s">
        <v>15</v>
      </c>
      <c r="E420" s="1">
        <v>45009</v>
      </c>
      <c r="J420">
        <v>64</v>
      </c>
      <c r="K420">
        <v>77</v>
      </c>
    </row>
    <row r="421" spans="1:11" x14ac:dyDescent="0.3">
      <c r="A421" t="s">
        <v>198</v>
      </c>
      <c r="B421" t="s">
        <v>199</v>
      </c>
      <c r="C421">
        <v>89</v>
      </c>
      <c r="D421" t="s">
        <v>28</v>
      </c>
      <c r="E421" s="1">
        <v>45609</v>
      </c>
      <c r="J421">
        <v>87</v>
      </c>
      <c r="K421">
        <v>98</v>
      </c>
    </row>
    <row r="422" spans="1:11" x14ac:dyDescent="0.3">
      <c r="A422" t="s">
        <v>406</v>
      </c>
      <c r="B422" t="s">
        <v>407</v>
      </c>
      <c r="C422">
        <v>83</v>
      </c>
      <c r="D422" t="s">
        <v>63</v>
      </c>
      <c r="E422" s="1">
        <v>45075</v>
      </c>
      <c r="J422">
        <v>84</v>
      </c>
      <c r="K422">
        <v>94</v>
      </c>
    </row>
    <row r="423" spans="1:11" x14ac:dyDescent="0.3">
      <c r="A423" t="s">
        <v>653</v>
      </c>
      <c r="B423" t="s">
        <v>654</v>
      </c>
      <c r="C423">
        <v>124</v>
      </c>
      <c r="D423" t="s">
        <v>28</v>
      </c>
      <c r="E423" s="1">
        <v>45701</v>
      </c>
      <c r="J423">
        <v>72</v>
      </c>
      <c r="K423">
        <v>88</v>
      </c>
    </row>
    <row r="424" spans="1:11" x14ac:dyDescent="0.3">
      <c r="A424" t="s">
        <v>517</v>
      </c>
      <c r="B424" t="s">
        <v>518</v>
      </c>
      <c r="C424">
        <v>117</v>
      </c>
      <c r="D424" t="s">
        <v>28</v>
      </c>
      <c r="E424" s="1">
        <v>45118</v>
      </c>
      <c r="J424">
        <v>78</v>
      </c>
      <c r="K424">
        <v>92</v>
      </c>
    </row>
    <row r="425" spans="1:11" x14ac:dyDescent="0.3">
      <c r="A425" t="s">
        <v>1070</v>
      </c>
      <c r="B425" t="s">
        <v>1071</v>
      </c>
      <c r="C425">
        <v>110</v>
      </c>
      <c r="D425" t="s">
        <v>25</v>
      </c>
      <c r="E425" s="1">
        <v>45590</v>
      </c>
      <c r="J425">
        <v>53</v>
      </c>
      <c r="K425">
        <v>76</v>
      </c>
    </row>
    <row r="426" spans="1:11" x14ac:dyDescent="0.3">
      <c r="A426" t="s">
        <v>376</v>
      </c>
      <c r="B426" t="s">
        <v>377</v>
      </c>
      <c r="C426">
        <v>103</v>
      </c>
      <c r="D426" t="s">
        <v>28</v>
      </c>
      <c r="E426" s="1">
        <v>45716</v>
      </c>
      <c r="J426">
        <v>75</v>
      </c>
      <c r="K426">
        <v>94</v>
      </c>
    </row>
    <row r="427" spans="1:11" x14ac:dyDescent="0.3">
      <c r="A427" t="s">
        <v>810</v>
      </c>
      <c r="B427" t="s">
        <v>811</v>
      </c>
      <c r="C427">
        <v>90</v>
      </c>
      <c r="D427" t="s">
        <v>12</v>
      </c>
      <c r="E427" s="1">
        <v>44834</v>
      </c>
      <c r="J427">
        <v>66</v>
      </c>
      <c r="K427">
        <v>85</v>
      </c>
    </row>
    <row r="428" spans="1:11" x14ac:dyDescent="0.3">
      <c r="A428" t="s">
        <v>1750</v>
      </c>
      <c r="B428" t="s">
        <v>1751</v>
      </c>
      <c r="C428">
        <v>90</v>
      </c>
      <c r="D428" t="s">
        <v>18</v>
      </c>
      <c r="E428" s="1">
        <v>44750</v>
      </c>
      <c r="J428">
        <v>40</v>
      </c>
      <c r="K428">
        <v>38</v>
      </c>
    </row>
    <row r="429" spans="1:11" x14ac:dyDescent="0.3">
      <c r="A429" t="s">
        <v>1645</v>
      </c>
      <c r="B429" t="s">
        <v>1646</v>
      </c>
      <c r="C429">
        <v>100</v>
      </c>
      <c r="D429" t="s">
        <v>18</v>
      </c>
      <c r="E429" s="1">
        <v>45797</v>
      </c>
      <c r="J429">
        <v>53</v>
      </c>
      <c r="K429">
        <v>43</v>
      </c>
    </row>
    <row r="430" spans="1:11" x14ac:dyDescent="0.3">
      <c r="A430" t="s">
        <v>679</v>
      </c>
      <c r="B430" t="s">
        <v>680</v>
      </c>
      <c r="C430">
        <v>95</v>
      </c>
      <c r="D430" t="s">
        <v>28</v>
      </c>
      <c r="E430" s="1">
        <v>44897</v>
      </c>
      <c r="J430">
        <v>73</v>
      </c>
      <c r="K430">
        <v>88</v>
      </c>
    </row>
    <row r="431" spans="1:11" x14ac:dyDescent="0.3">
      <c r="A431" t="s">
        <v>126</v>
      </c>
      <c r="B431" t="s">
        <v>127</v>
      </c>
      <c r="C431">
        <v>129</v>
      </c>
      <c r="D431" t="s">
        <v>15</v>
      </c>
      <c r="E431" s="1">
        <v>45044</v>
      </c>
      <c r="H431">
        <v>7.5629999999999997</v>
      </c>
      <c r="J431">
        <v>45</v>
      </c>
      <c r="K431">
        <v>42</v>
      </c>
    </row>
    <row r="432" spans="1:11" x14ac:dyDescent="0.3">
      <c r="A432" t="s">
        <v>1156</v>
      </c>
      <c r="B432" t="s">
        <v>1157</v>
      </c>
      <c r="C432">
        <v>83</v>
      </c>
      <c r="D432" t="s">
        <v>12</v>
      </c>
      <c r="E432" s="1">
        <v>45282</v>
      </c>
      <c r="J432">
        <v>56</v>
      </c>
      <c r="K432">
        <v>73</v>
      </c>
    </row>
    <row r="433" spans="1:11" x14ac:dyDescent="0.3">
      <c r="A433" t="s">
        <v>1464</v>
      </c>
      <c r="B433" t="s">
        <v>1465</v>
      </c>
      <c r="C433">
        <v>118</v>
      </c>
      <c r="D433" t="s">
        <v>12</v>
      </c>
      <c r="E433" s="1">
        <v>45646</v>
      </c>
      <c r="J433">
        <v>56</v>
      </c>
      <c r="K433">
        <v>56</v>
      </c>
    </row>
    <row r="434" spans="1:11" x14ac:dyDescent="0.3">
      <c r="A434" t="s">
        <v>1316</v>
      </c>
      <c r="B434" t="s">
        <v>1317</v>
      </c>
      <c r="C434">
        <v>113</v>
      </c>
      <c r="D434" t="s">
        <v>28</v>
      </c>
      <c r="E434" s="1">
        <v>45338</v>
      </c>
      <c r="J434">
        <v>57</v>
      </c>
      <c r="K434">
        <v>66</v>
      </c>
    </row>
    <row r="435" spans="1:11" x14ac:dyDescent="0.3">
      <c r="A435" t="s">
        <v>954</v>
      </c>
      <c r="B435" t="s">
        <v>955</v>
      </c>
      <c r="C435">
        <v>118</v>
      </c>
      <c r="D435" t="s">
        <v>28</v>
      </c>
      <c r="E435" s="1">
        <v>45198</v>
      </c>
      <c r="J435">
        <v>60</v>
      </c>
      <c r="K435">
        <v>81</v>
      </c>
    </row>
    <row r="436" spans="1:11" x14ac:dyDescent="0.3">
      <c r="A436" t="s">
        <v>960</v>
      </c>
      <c r="B436" t="s">
        <v>961</v>
      </c>
      <c r="C436">
        <v>139</v>
      </c>
      <c r="D436" t="s">
        <v>15</v>
      </c>
      <c r="E436" s="1">
        <v>44888</v>
      </c>
      <c r="J436">
        <v>66</v>
      </c>
      <c r="K436">
        <v>81</v>
      </c>
    </row>
    <row r="437" spans="1:11" x14ac:dyDescent="0.3">
      <c r="A437" t="s">
        <v>1663</v>
      </c>
      <c r="B437" t="s">
        <v>1664</v>
      </c>
      <c r="C437">
        <v>144</v>
      </c>
      <c r="D437" t="s">
        <v>15</v>
      </c>
      <c r="E437" s="1">
        <v>44918</v>
      </c>
      <c r="J437">
        <v>51</v>
      </c>
      <c r="K437">
        <v>43</v>
      </c>
    </row>
    <row r="438" spans="1:11" x14ac:dyDescent="0.3">
      <c r="A438" t="s">
        <v>535</v>
      </c>
      <c r="B438" t="s">
        <v>536</v>
      </c>
      <c r="C438">
        <v>93</v>
      </c>
      <c r="D438" t="s">
        <v>15</v>
      </c>
      <c r="E438" s="1">
        <v>45716</v>
      </c>
      <c r="J438">
        <v>66</v>
      </c>
      <c r="K438">
        <v>91</v>
      </c>
    </row>
    <row r="439" spans="1:11" x14ac:dyDescent="0.3">
      <c r="A439" t="s">
        <v>1518</v>
      </c>
      <c r="B439" t="s">
        <v>1519</v>
      </c>
      <c r="C439">
        <v>119</v>
      </c>
      <c r="D439" t="s">
        <v>28</v>
      </c>
      <c r="E439" s="1">
        <v>45022</v>
      </c>
      <c r="J439">
        <v>43</v>
      </c>
      <c r="K439">
        <v>53</v>
      </c>
    </row>
    <row r="440" spans="1:11" x14ac:dyDescent="0.3">
      <c r="A440" t="s">
        <v>1248</v>
      </c>
      <c r="B440" t="s">
        <v>1249</v>
      </c>
      <c r="C440">
        <v>127</v>
      </c>
      <c r="D440" t="s">
        <v>15</v>
      </c>
      <c r="E440" s="1">
        <v>44883</v>
      </c>
      <c r="J440">
        <v>55</v>
      </c>
      <c r="K440">
        <v>70</v>
      </c>
    </row>
    <row r="441" spans="1:11" x14ac:dyDescent="0.3">
      <c r="A441" t="s">
        <v>1380</v>
      </c>
      <c r="B441" t="s">
        <v>1381</v>
      </c>
      <c r="C441">
        <v>128</v>
      </c>
      <c r="D441" t="s">
        <v>28</v>
      </c>
      <c r="E441" s="1">
        <v>44932</v>
      </c>
      <c r="J441">
        <v>56</v>
      </c>
      <c r="K441">
        <v>62</v>
      </c>
    </row>
    <row r="442" spans="1:11" x14ac:dyDescent="0.3">
      <c r="A442" t="s">
        <v>1312</v>
      </c>
      <c r="B442" t="s">
        <v>1313</v>
      </c>
      <c r="C442">
        <v>132</v>
      </c>
      <c r="D442" t="s">
        <v>15</v>
      </c>
      <c r="E442" s="1">
        <v>45485</v>
      </c>
      <c r="J442">
        <v>53</v>
      </c>
      <c r="K442">
        <v>66</v>
      </c>
    </row>
    <row r="443" spans="1:11" x14ac:dyDescent="0.3">
      <c r="A443" t="s">
        <v>904</v>
      </c>
      <c r="B443" t="s">
        <v>905</v>
      </c>
      <c r="C443">
        <v>94</v>
      </c>
      <c r="D443" t="s">
        <v>15</v>
      </c>
      <c r="E443" s="1">
        <v>45363</v>
      </c>
      <c r="J443">
        <v>68</v>
      </c>
      <c r="K443">
        <v>82</v>
      </c>
    </row>
    <row r="444" spans="1:11" x14ac:dyDescent="0.3">
      <c r="A444" t="s">
        <v>1110</v>
      </c>
      <c r="B444" t="s">
        <v>1111</v>
      </c>
      <c r="C444">
        <v>120</v>
      </c>
      <c r="D444" t="s">
        <v>28</v>
      </c>
      <c r="E444" s="1">
        <v>45520</v>
      </c>
      <c r="J444">
        <v>61</v>
      </c>
      <c r="K444">
        <v>75</v>
      </c>
    </row>
    <row r="445" spans="1:11" x14ac:dyDescent="0.3">
      <c r="A445" t="s">
        <v>1579</v>
      </c>
      <c r="B445" t="s">
        <v>1580</v>
      </c>
      <c r="C445">
        <v>137</v>
      </c>
      <c r="D445" t="s">
        <v>28</v>
      </c>
      <c r="E445" s="1">
        <v>45589</v>
      </c>
      <c r="J445">
        <v>52</v>
      </c>
      <c r="K445">
        <v>47</v>
      </c>
    </row>
    <row r="446" spans="1:11" x14ac:dyDescent="0.3">
      <c r="A446" t="s">
        <v>1002</v>
      </c>
      <c r="B446" t="s">
        <v>1003</v>
      </c>
      <c r="C446">
        <v>116</v>
      </c>
      <c r="D446" t="s">
        <v>28</v>
      </c>
      <c r="E446" s="1">
        <v>45464</v>
      </c>
      <c r="J446">
        <v>70</v>
      </c>
      <c r="K446">
        <v>79</v>
      </c>
    </row>
    <row r="447" spans="1:11" x14ac:dyDescent="0.3">
      <c r="A447" t="s">
        <v>863</v>
      </c>
      <c r="B447" t="s">
        <v>864</v>
      </c>
      <c r="C447">
        <v>109</v>
      </c>
      <c r="D447" t="s">
        <v>28</v>
      </c>
      <c r="E447" s="1">
        <v>45401</v>
      </c>
      <c r="J447">
        <v>62</v>
      </c>
      <c r="K447">
        <v>83</v>
      </c>
    </row>
    <row r="448" spans="1:11" x14ac:dyDescent="0.3">
      <c r="A448" t="s">
        <v>757</v>
      </c>
      <c r="B448" t="s">
        <v>758</v>
      </c>
      <c r="C448">
        <v>126</v>
      </c>
      <c r="D448" t="s">
        <v>28</v>
      </c>
      <c r="E448" s="1">
        <v>44897</v>
      </c>
      <c r="J448">
        <v>67</v>
      </c>
      <c r="K448">
        <v>86</v>
      </c>
    </row>
    <row r="449" spans="1:11" x14ac:dyDescent="0.3">
      <c r="A449" t="s">
        <v>1932</v>
      </c>
      <c r="B449" t="s">
        <v>1933</v>
      </c>
      <c r="C449">
        <v>123</v>
      </c>
      <c r="D449" t="s">
        <v>28</v>
      </c>
      <c r="E449" s="1">
        <v>45226</v>
      </c>
      <c r="J449">
        <v>44</v>
      </c>
      <c r="K449">
        <v>23</v>
      </c>
    </row>
    <row r="450" spans="1:11" x14ac:dyDescent="0.3">
      <c r="A450" t="s">
        <v>885</v>
      </c>
      <c r="B450" t="s">
        <v>859</v>
      </c>
      <c r="C450">
        <v>97</v>
      </c>
      <c r="D450" t="s">
        <v>18</v>
      </c>
      <c r="E450" s="1">
        <v>44637</v>
      </c>
      <c r="J450">
        <v>78</v>
      </c>
      <c r="K450">
        <v>83</v>
      </c>
    </row>
    <row r="451" spans="1:11" x14ac:dyDescent="0.3">
      <c r="A451" t="s">
        <v>378</v>
      </c>
      <c r="B451" t="s">
        <v>379</v>
      </c>
      <c r="C451">
        <v>97</v>
      </c>
      <c r="D451" t="s">
        <v>28</v>
      </c>
      <c r="E451" s="1">
        <v>45674</v>
      </c>
      <c r="J451">
        <v>71</v>
      </c>
      <c r="K451">
        <v>94</v>
      </c>
    </row>
    <row r="452" spans="1:11" x14ac:dyDescent="0.3">
      <c r="A452" t="s">
        <v>1132</v>
      </c>
      <c r="B452" t="s">
        <v>1133</v>
      </c>
      <c r="C452">
        <v>112</v>
      </c>
      <c r="D452" t="s">
        <v>15</v>
      </c>
      <c r="E452" s="1">
        <v>45715</v>
      </c>
      <c r="J452">
        <v>56</v>
      </c>
      <c r="K452">
        <v>74</v>
      </c>
    </row>
    <row r="453" spans="1:11" x14ac:dyDescent="0.3">
      <c r="A453" t="s">
        <v>804</v>
      </c>
      <c r="B453" t="s">
        <v>805</v>
      </c>
      <c r="C453">
        <v>108</v>
      </c>
      <c r="D453" t="s">
        <v>28</v>
      </c>
      <c r="E453" s="1">
        <v>44881</v>
      </c>
      <c r="J453">
        <v>71</v>
      </c>
      <c r="K453">
        <v>85</v>
      </c>
    </row>
    <row r="454" spans="1:11" x14ac:dyDescent="0.3">
      <c r="A454" t="s">
        <v>346</v>
      </c>
      <c r="B454" t="s">
        <v>347</v>
      </c>
      <c r="C454">
        <v>96</v>
      </c>
      <c r="D454" t="s">
        <v>63</v>
      </c>
      <c r="E454" s="1">
        <v>45251</v>
      </c>
      <c r="J454">
        <v>72</v>
      </c>
      <c r="K454">
        <v>95</v>
      </c>
    </row>
    <row r="455" spans="1:11" x14ac:dyDescent="0.3">
      <c r="A455" t="s">
        <v>352</v>
      </c>
      <c r="B455" t="s">
        <v>353</v>
      </c>
      <c r="C455">
        <v>122</v>
      </c>
      <c r="D455" t="s">
        <v>28</v>
      </c>
      <c r="E455" s="1">
        <v>45128</v>
      </c>
      <c r="J455">
        <v>74</v>
      </c>
      <c r="K455">
        <v>95</v>
      </c>
    </row>
    <row r="456" spans="1:11" x14ac:dyDescent="0.3">
      <c r="A456" t="s">
        <v>388</v>
      </c>
      <c r="B456" t="s">
        <v>389</v>
      </c>
      <c r="C456">
        <v>104</v>
      </c>
      <c r="D456" t="s">
        <v>28</v>
      </c>
      <c r="E456" s="1">
        <v>45415</v>
      </c>
      <c r="J456">
        <v>77</v>
      </c>
      <c r="K456">
        <v>94</v>
      </c>
    </row>
    <row r="457" spans="1:11" x14ac:dyDescent="0.3">
      <c r="A457" t="s">
        <v>881</v>
      </c>
      <c r="B457" t="s">
        <v>882</v>
      </c>
      <c r="C457">
        <v>128</v>
      </c>
      <c r="D457" t="s">
        <v>15</v>
      </c>
      <c r="E457" s="1">
        <v>44692</v>
      </c>
      <c r="J457">
        <v>65</v>
      </c>
      <c r="K457">
        <v>83</v>
      </c>
    </row>
    <row r="458" spans="1:11" x14ac:dyDescent="0.3">
      <c r="A458" t="s">
        <v>850</v>
      </c>
      <c r="B458" t="s">
        <v>851</v>
      </c>
      <c r="C458">
        <v>94</v>
      </c>
      <c r="D458" t="s">
        <v>28</v>
      </c>
      <c r="E458" s="1">
        <v>44869</v>
      </c>
      <c r="J458">
        <v>66</v>
      </c>
      <c r="K458">
        <v>84</v>
      </c>
    </row>
    <row r="459" spans="1:11" x14ac:dyDescent="0.3">
      <c r="A459" t="s">
        <v>74</v>
      </c>
      <c r="B459" t="s">
        <v>75</v>
      </c>
      <c r="C459">
        <v>103</v>
      </c>
      <c r="D459" t="s">
        <v>28</v>
      </c>
      <c r="E459" s="1">
        <v>45569</v>
      </c>
      <c r="J459">
        <v>56</v>
      </c>
      <c r="K459">
        <v>80</v>
      </c>
    </row>
    <row r="460" spans="1:11" x14ac:dyDescent="0.3">
      <c r="A460" t="s">
        <v>468</v>
      </c>
      <c r="B460" t="s">
        <v>469</v>
      </c>
      <c r="C460">
        <v>123</v>
      </c>
      <c r="D460" t="s">
        <v>28</v>
      </c>
      <c r="E460" s="1">
        <v>45191</v>
      </c>
      <c r="J460">
        <v>68</v>
      </c>
      <c r="K460">
        <v>93</v>
      </c>
    </row>
    <row r="461" spans="1:11" x14ac:dyDescent="0.3">
      <c r="A461" t="s">
        <v>651</v>
      </c>
      <c r="B461" t="s">
        <v>652</v>
      </c>
      <c r="C461">
        <v>96</v>
      </c>
      <c r="D461" t="s">
        <v>12</v>
      </c>
      <c r="E461" s="1">
        <v>44624</v>
      </c>
      <c r="J461">
        <v>78</v>
      </c>
      <c r="K461">
        <v>89</v>
      </c>
    </row>
    <row r="462" spans="1:11" x14ac:dyDescent="0.3">
      <c r="A462" t="s">
        <v>539</v>
      </c>
      <c r="B462" t="s">
        <v>540</v>
      </c>
      <c r="C462">
        <v>95</v>
      </c>
      <c r="D462" t="s">
        <v>28</v>
      </c>
      <c r="E462" s="1">
        <v>45583</v>
      </c>
      <c r="J462">
        <v>74</v>
      </c>
      <c r="K462">
        <v>91</v>
      </c>
    </row>
    <row r="463" spans="1:11" x14ac:dyDescent="0.3">
      <c r="A463" t="s">
        <v>1006</v>
      </c>
      <c r="B463" t="s">
        <v>1007</v>
      </c>
      <c r="C463">
        <v>104</v>
      </c>
      <c r="D463" t="s">
        <v>15</v>
      </c>
      <c r="E463" s="1">
        <v>45205</v>
      </c>
      <c r="J463">
        <v>74</v>
      </c>
      <c r="K463">
        <v>79</v>
      </c>
    </row>
    <row r="464" spans="1:11" x14ac:dyDescent="0.3">
      <c r="A464" t="s">
        <v>402</v>
      </c>
      <c r="B464" t="s">
        <v>403</v>
      </c>
      <c r="C464">
        <v>91</v>
      </c>
      <c r="D464" t="s">
        <v>25</v>
      </c>
      <c r="E464" s="1">
        <v>45205</v>
      </c>
      <c r="J464">
        <v>80</v>
      </c>
      <c r="K464">
        <v>94</v>
      </c>
    </row>
    <row r="465" spans="1:11" x14ac:dyDescent="0.3">
      <c r="A465" t="s">
        <v>1134</v>
      </c>
      <c r="B465" t="s">
        <v>1135</v>
      </c>
      <c r="C465">
        <v>103</v>
      </c>
      <c r="D465" t="s">
        <v>15</v>
      </c>
      <c r="E465" s="1">
        <v>45436</v>
      </c>
      <c r="J465">
        <v>42</v>
      </c>
      <c r="K465">
        <v>74</v>
      </c>
    </row>
    <row r="466" spans="1:11" x14ac:dyDescent="0.3">
      <c r="A466" t="s">
        <v>1114</v>
      </c>
      <c r="B466" t="s">
        <v>1115</v>
      </c>
      <c r="C466">
        <v>100</v>
      </c>
      <c r="D466" t="s">
        <v>28</v>
      </c>
      <c r="E466" s="1">
        <v>45470</v>
      </c>
      <c r="J466">
        <v>62</v>
      </c>
      <c r="K466">
        <v>75</v>
      </c>
    </row>
    <row r="467" spans="1:11" x14ac:dyDescent="0.3">
      <c r="A467" t="s">
        <v>562</v>
      </c>
      <c r="B467" t="s">
        <v>563</v>
      </c>
      <c r="C467">
        <v>104</v>
      </c>
      <c r="D467" t="s">
        <v>15</v>
      </c>
      <c r="E467" s="1">
        <v>45044</v>
      </c>
      <c r="J467">
        <v>75</v>
      </c>
      <c r="K467">
        <v>91</v>
      </c>
    </row>
    <row r="468" spans="1:11" x14ac:dyDescent="0.3">
      <c r="A468" t="s">
        <v>529</v>
      </c>
      <c r="B468" t="s">
        <v>530</v>
      </c>
      <c r="C468">
        <v>117</v>
      </c>
      <c r="D468" t="s">
        <v>63</v>
      </c>
      <c r="E468" s="1">
        <v>44853</v>
      </c>
      <c r="J468">
        <v>74</v>
      </c>
      <c r="K468">
        <v>92</v>
      </c>
    </row>
    <row r="469" spans="1:11" x14ac:dyDescent="0.3">
      <c r="A469" t="s">
        <v>150</v>
      </c>
      <c r="B469" t="s">
        <v>151</v>
      </c>
      <c r="C469">
        <v>101</v>
      </c>
      <c r="D469" t="s">
        <v>28</v>
      </c>
      <c r="E469" s="1">
        <v>45736</v>
      </c>
      <c r="J469">
        <v>73</v>
      </c>
      <c r="K469">
        <v>100</v>
      </c>
    </row>
    <row r="470" spans="1:11" x14ac:dyDescent="0.3">
      <c r="A470" t="s">
        <v>208</v>
      </c>
      <c r="B470" t="s">
        <v>209</v>
      </c>
      <c r="C470">
        <v>92</v>
      </c>
      <c r="D470" t="s">
        <v>28</v>
      </c>
      <c r="E470" s="1">
        <v>45156</v>
      </c>
      <c r="J470">
        <v>77</v>
      </c>
      <c r="K470">
        <v>98</v>
      </c>
    </row>
    <row r="471" spans="1:11" x14ac:dyDescent="0.3">
      <c r="A471" t="s">
        <v>1641</v>
      </c>
      <c r="B471" t="s">
        <v>1642</v>
      </c>
      <c r="C471">
        <v>113</v>
      </c>
      <c r="D471" t="s">
        <v>28</v>
      </c>
      <c r="E471" s="1">
        <v>44869</v>
      </c>
      <c r="H471">
        <v>7.6</v>
      </c>
      <c r="J471">
        <v>50</v>
      </c>
      <c r="K471">
        <v>44</v>
      </c>
    </row>
    <row r="472" spans="1:11" x14ac:dyDescent="0.3">
      <c r="A472" t="s">
        <v>765</v>
      </c>
      <c r="B472" t="s">
        <v>766</v>
      </c>
      <c r="C472">
        <v>98</v>
      </c>
      <c r="D472" t="s">
        <v>63</v>
      </c>
      <c r="E472" s="1">
        <v>44771</v>
      </c>
      <c r="J472">
        <v>66</v>
      </c>
      <c r="K472">
        <v>86</v>
      </c>
    </row>
    <row r="473" spans="1:11" x14ac:dyDescent="0.3">
      <c r="A473" t="s">
        <v>1060</v>
      </c>
      <c r="B473" t="s">
        <v>1061</v>
      </c>
      <c r="C473">
        <v>101</v>
      </c>
      <c r="D473" t="s">
        <v>15</v>
      </c>
      <c r="E473" s="1">
        <v>44610</v>
      </c>
      <c r="J473">
        <v>61</v>
      </c>
      <c r="K473">
        <v>77</v>
      </c>
    </row>
    <row r="474" spans="1:11" x14ac:dyDescent="0.3">
      <c r="A474" t="s">
        <v>505</v>
      </c>
      <c r="B474" t="s">
        <v>506</v>
      </c>
      <c r="C474">
        <v>144</v>
      </c>
      <c r="D474" t="s">
        <v>63</v>
      </c>
      <c r="E474" s="1">
        <v>45582</v>
      </c>
      <c r="J474">
        <v>73</v>
      </c>
      <c r="K474">
        <v>92</v>
      </c>
    </row>
    <row r="475" spans="1:11" x14ac:dyDescent="0.3">
      <c r="A475" t="s">
        <v>1004</v>
      </c>
      <c r="B475" t="s">
        <v>1005</v>
      </c>
      <c r="C475">
        <v>115</v>
      </c>
      <c r="D475" t="s">
        <v>15</v>
      </c>
      <c r="E475" s="1">
        <v>45399</v>
      </c>
      <c r="J475">
        <v>58</v>
      </c>
      <c r="K475">
        <v>79</v>
      </c>
    </row>
    <row r="476" spans="1:11" x14ac:dyDescent="0.3">
      <c r="A476" t="s">
        <v>1684</v>
      </c>
      <c r="B476" t="s">
        <v>1685</v>
      </c>
      <c r="C476">
        <v>124</v>
      </c>
      <c r="D476" t="s">
        <v>15</v>
      </c>
      <c r="E476" s="1">
        <v>44666</v>
      </c>
      <c r="J476">
        <v>40</v>
      </c>
      <c r="K476">
        <v>42</v>
      </c>
    </row>
    <row r="477" spans="1:11" x14ac:dyDescent="0.3">
      <c r="A477" t="s">
        <v>1504</v>
      </c>
      <c r="B477" t="s">
        <v>1505</v>
      </c>
      <c r="C477">
        <v>103</v>
      </c>
      <c r="D477" t="s">
        <v>15</v>
      </c>
      <c r="E477" s="1">
        <v>45548</v>
      </c>
      <c r="J477">
        <v>56</v>
      </c>
      <c r="K477">
        <v>54</v>
      </c>
    </row>
    <row r="478" spans="1:11" x14ac:dyDescent="0.3">
      <c r="A478" t="s">
        <v>1240</v>
      </c>
      <c r="B478" t="s">
        <v>1241</v>
      </c>
      <c r="C478">
        <v>101</v>
      </c>
      <c r="D478" t="s">
        <v>28</v>
      </c>
      <c r="E478" s="1">
        <v>45442</v>
      </c>
      <c r="J478">
        <v>57</v>
      </c>
      <c r="K478">
        <v>70</v>
      </c>
    </row>
    <row r="479" spans="1:11" x14ac:dyDescent="0.3">
      <c r="A479" t="s">
        <v>1026</v>
      </c>
      <c r="B479" t="s">
        <v>1027</v>
      </c>
      <c r="C479">
        <v>107</v>
      </c>
      <c r="D479" t="s">
        <v>28</v>
      </c>
      <c r="E479" s="1">
        <v>44953</v>
      </c>
      <c r="J479">
        <v>62</v>
      </c>
      <c r="K479">
        <v>78</v>
      </c>
    </row>
    <row r="480" spans="1:11" x14ac:dyDescent="0.3">
      <c r="A480" t="s">
        <v>691</v>
      </c>
      <c r="B480" t="s">
        <v>692</v>
      </c>
      <c r="C480">
        <v>99</v>
      </c>
      <c r="D480" t="s">
        <v>63</v>
      </c>
      <c r="E480" s="1">
        <v>44693</v>
      </c>
      <c r="J480">
        <v>68</v>
      </c>
      <c r="K480">
        <v>88</v>
      </c>
    </row>
    <row r="481" spans="1:11" x14ac:dyDescent="0.3">
      <c r="A481" t="s">
        <v>865</v>
      </c>
      <c r="B481" t="s">
        <v>866</v>
      </c>
      <c r="C481">
        <v>119</v>
      </c>
      <c r="D481" t="s">
        <v>28</v>
      </c>
      <c r="E481" s="1">
        <v>45387</v>
      </c>
      <c r="J481">
        <v>65</v>
      </c>
      <c r="K481">
        <v>83</v>
      </c>
    </row>
    <row r="482" spans="1:11" x14ac:dyDescent="0.3">
      <c r="A482" t="s">
        <v>438</v>
      </c>
      <c r="B482" t="s">
        <v>439</v>
      </c>
      <c r="C482">
        <v>95</v>
      </c>
      <c r="D482" t="s">
        <v>25</v>
      </c>
      <c r="E482" s="1">
        <v>45693</v>
      </c>
      <c r="J482">
        <v>83</v>
      </c>
      <c r="K482">
        <v>93</v>
      </c>
    </row>
    <row r="483" spans="1:11" x14ac:dyDescent="0.3">
      <c r="A483" t="s">
        <v>794</v>
      </c>
      <c r="B483" t="s">
        <v>795</v>
      </c>
      <c r="C483">
        <v>106</v>
      </c>
      <c r="D483" t="s">
        <v>28</v>
      </c>
      <c r="E483" s="1">
        <v>45205</v>
      </c>
      <c r="J483">
        <v>62</v>
      </c>
      <c r="K483">
        <v>85</v>
      </c>
    </row>
    <row r="484" spans="1:11" x14ac:dyDescent="0.3">
      <c r="A484" t="s">
        <v>1456</v>
      </c>
      <c r="B484" t="s">
        <v>1457</v>
      </c>
      <c r="C484">
        <v>102</v>
      </c>
      <c r="D484" t="s">
        <v>63</v>
      </c>
      <c r="E484" s="1">
        <v>44622</v>
      </c>
      <c r="J484">
        <v>49</v>
      </c>
      <c r="K484">
        <v>57</v>
      </c>
    </row>
    <row r="485" spans="1:11" x14ac:dyDescent="0.3">
      <c r="A485" t="s">
        <v>1855</v>
      </c>
      <c r="B485" t="s">
        <v>1856</v>
      </c>
      <c r="C485">
        <v>123</v>
      </c>
      <c r="D485" t="s">
        <v>15</v>
      </c>
      <c r="E485" s="1">
        <v>44946</v>
      </c>
      <c r="J485">
        <v>45</v>
      </c>
      <c r="K485">
        <v>29</v>
      </c>
    </row>
    <row r="486" spans="1:11" x14ac:dyDescent="0.3">
      <c r="A486" t="s">
        <v>838</v>
      </c>
      <c r="B486" t="s">
        <v>839</v>
      </c>
      <c r="C486">
        <v>113</v>
      </c>
      <c r="D486" t="s">
        <v>28</v>
      </c>
      <c r="E486" s="1">
        <v>45233</v>
      </c>
      <c r="J486">
        <v>79</v>
      </c>
      <c r="K486">
        <v>84</v>
      </c>
    </row>
    <row r="487" spans="1:11" x14ac:dyDescent="0.3">
      <c r="A487" t="s">
        <v>1108</v>
      </c>
      <c r="B487" t="s">
        <v>1109</v>
      </c>
      <c r="C487">
        <v>102</v>
      </c>
      <c r="D487" t="s">
        <v>28</v>
      </c>
      <c r="E487" s="1">
        <v>45527</v>
      </c>
      <c r="J487">
        <v>66</v>
      </c>
      <c r="K487">
        <v>75</v>
      </c>
    </row>
    <row r="488" spans="1:11" x14ac:dyDescent="0.3">
      <c r="A488" t="s">
        <v>1298</v>
      </c>
      <c r="B488" t="s">
        <v>1299</v>
      </c>
      <c r="C488">
        <v>112</v>
      </c>
      <c r="D488" t="s">
        <v>28</v>
      </c>
      <c r="E488" s="1">
        <v>45002</v>
      </c>
      <c r="J488">
        <v>58</v>
      </c>
      <c r="K488">
        <v>67</v>
      </c>
    </row>
    <row r="489" spans="1:11" x14ac:dyDescent="0.3">
      <c r="A489" t="s">
        <v>1034</v>
      </c>
      <c r="B489" t="s">
        <v>1035</v>
      </c>
      <c r="C489">
        <v>137</v>
      </c>
      <c r="D489" t="s">
        <v>28</v>
      </c>
      <c r="E489" s="1">
        <v>45745</v>
      </c>
      <c r="J489">
        <v>72</v>
      </c>
      <c r="K489">
        <v>77</v>
      </c>
    </row>
    <row r="490" spans="1:11" x14ac:dyDescent="0.3">
      <c r="A490" t="s">
        <v>1084</v>
      </c>
      <c r="B490" t="s">
        <v>1085</v>
      </c>
      <c r="C490">
        <v>103</v>
      </c>
      <c r="D490" t="s">
        <v>15</v>
      </c>
      <c r="E490" s="1">
        <v>45184</v>
      </c>
      <c r="J490">
        <v>63</v>
      </c>
      <c r="K490">
        <v>76</v>
      </c>
    </row>
    <row r="491" spans="1:11" x14ac:dyDescent="0.3">
      <c r="A491" t="s">
        <v>1310</v>
      </c>
      <c r="B491" t="s">
        <v>1311</v>
      </c>
      <c r="C491">
        <v>108</v>
      </c>
      <c r="D491" t="s">
        <v>28</v>
      </c>
      <c r="E491" s="1">
        <v>45562</v>
      </c>
      <c r="J491">
        <v>60</v>
      </c>
      <c r="K491">
        <v>66</v>
      </c>
    </row>
    <row r="492" spans="1:11" x14ac:dyDescent="0.3">
      <c r="A492" t="s">
        <v>926</v>
      </c>
      <c r="B492" t="s">
        <v>927</v>
      </c>
      <c r="C492">
        <v>121</v>
      </c>
      <c r="D492" t="s">
        <v>28</v>
      </c>
      <c r="E492" s="1">
        <v>44862</v>
      </c>
      <c r="J492">
        <v>62</v>
      </c>
      <c r="K492">
        <v>82</v>
      </c>
    </row>
    <row r="493" spans="1:11" x14ac:dyDescent="0.3">
      <c r="A493" t="s">
        <v>1210</v>
      </c>
      <c r="B493" t="s">
        <v>1211</v>
      </c>
      <c r="C493">
        <v>164</v>
      </c>
      <c r="D493" t="s">
        <v>28</v>
      </c>
      <c r="E493" s="1">
        <v>45471</v>
      </c>
      <c r="J493">
        <v>64</v>
      </c>
      <c r="K493">
        <v>71</v>
      </c>
    </row>
    <row r="494" spans="1:11" x14ac:dyDescent="0.3">
      <c r="A494" t="s">
        <v>1609</v>
      </c>
      <c r="B494" t="s">
        <v>1610</v>
      </c>
      <c r="C494">
        <v>104</v>
      </c>
      <c r="D494" t="s">
        <v>15</v>
      </c>
      <c r="E494" s="1">
        <v>45247</v>
      </c>
      <c r="J494">
        <v>44</v>
      </c>
      <c r="K494">
        <v>46</v>
      </c>
    </row>
    <row r="495" spans="1:11" x14ac:dyDescent="0.3">
      <c r="A495" t="s">
        <v>578</v>
      </c>
      <c r="B495" t="s">
        <v>579</v>
      </c>
      <c r="C495">
        <v>88</v>
      </c>
      <c r="D495" t="s">
        <v>28</v>
      </c>
      <c r="E495" s="1">
        <v>44652</v>
      </c>
      <c r="J495">
        <v>72</v>
      </c>
      <c r="K495">
        <v>91</v>
      </c>
    </row>
    <row r="496" spans="1:11" x14ac:dyDescent="0.3">
      <c r="A496" t="s">
        <v>854</v>
      </c>
      <c r="B496" t="s">
        <v>855</v>
      </c>
      <c r="C496">
        <v>88</v>
      </c>
      <c r="D496" t="s">
        <v>28</v>
      </c>
      <c r="E496" s="1">
        <v>45667</v>
      </c>
      <c r="J496">
        <v>66</v>
      </c>
      <c r="K496">
        <v>83</v>
      </c>
    </row>
    <row r="497" spans="1:11" x14ac:dyDescent="0.3">
      <c r="A497" t="s">
        <v>1056</v>
      </c>
      <c r="B497" t="s">
        <v>1057</v>
      </c>
      <c r="C497">
        <v>114</v>
      </c>
      <c r="D497" t="s">
        <v>28</v>
      </c>
      <c r="E497" s="1">
        <v>44869</v>
      </c>
      <c r="J497">
        <v>74</v>
      </c>
      <c r="K497">
        <v>77</v>
      </c>
    </row>
    <row r="498" spans="1:11" x14ac:dyDescent="0.3">
      <c r="A498" t="s">
        <v>1092</v>
      </c>
      <c r="B498" t="s">
        <v>1093</v>
      </c>
      <c r="C498">
        <v>108</v>
      </c>
      <c r="D498" t="s">
        <v>15</v>
      </c>
      <c r="E498" s="1">
        <v>45022</v>
      </c>
      <c r="J498">
        <v>67</v>
      </c>
      <c r="K498">
        <v>76</v>
      </c>
    </row>
    <row r="499" spans="1:11" x14ac:dyDescent="0.3">
      <c r="A499" t="s">
        <v>1128</v>
      </c>
      <c r="B499" t="s">
        <v>1129</v>
      </c>
      <c r="C499">
        <v>98</v>
      </c>
      <c r="D499" t="s">
        <v>15</v>
      </c>
      <c r="E499" s="1">
        <v>44820</v>
      </c>
      <c r="J499">
        <v>60</v>
      </c>
      <c r="K499">
        <v>75</v>
      </c>
    </row>
    <row r="500" spans="1:11" x14ac:dyDescent="0.3">
      <c r="A500" t="s">
        <v>398</v>
      </c>
      <c r="B500" t="s">
        <v>399</v>
      </c>
      <c r="C500">
        <v>93</v>
      </c>
      <c r="D500" t="s">
        <v>28</v>
      </c>
      <c r="E500" s="1">
        <v>45317</v>
      </c>
      <c r="J500">
        <v>80</v>
      </c>
      <c r="K500">
        <v>94</v>
      </c>
    </row>
    <row r="501" spans="1:11" x14ac:dyDescent="0.3">
      <c r="A501" t="s">
        <v>735</v>
      </c>
      <c r="B501" t="s">
        <v>736</v>
      </c>
      <c r="C501">
        <v>146</v>
      </c>
      <c r="D501" t="s">
        <v>25</v>
      </c>
      <c r="E501" s="1">
        <v>45501</v>
      </c>
      <c r="J501">
        <v>80</v>
      </c>
      <c r="K501">
        <v>86</v>
      </c>
    </row>
    <row r="502" spans="1:11" x14ac:dyDescent="0.3">
      <c r="A502" t="s">
        <v>912</v>
      </c>
      <c r="B502" t="s">
        <v>913</v>
      </c>
      <c r="C502">
        <v>101</v>
      </c>
      <c r="D502" t="s">
        <v>160</v>
      </c>
      <c r="E502" s="1">
        <v>45101</v>
      </c>
      <c r="J502">
        <v>80</v>
      </c>
      <c r="K502">
        <v>82</v>
      </c>
    </row>
    <row r="503" spans="1:11" x14ac:dyDescent="0.3">
      <c r="A503" t="s">
        <v>1080</v>
      </c>
      <c r="B503" t="s">
        <v>1081</v>
      </c>
      <c r="C503">
        <v>102</v>
      </c>
      <c r="D503" t="s">
        <v>90</v>
      </c>
      <c r="E503" s="1">
        <v>45387</v>
      </c>
      <c r="J503">
        <v>63</v>
      </c>
      <c r="K503">
        <v>76</v>
      </c>
    </row>
    <row r="504" spans="1:11" x14ac:dyDescent="0.3">
      <c r="A504" t="s">
        <v>723</v>
      </c>
      <c r="B504" t="s">
        <v>724</v>
      </c>
      <c r="C504">
        <v>116</v>
      </c>
      <c r="D504" t="s">
        <v>28</v>
      </c>
      <c r="E504" s="1">
        <v>44603</v>
      </c>
      <c r="J504">
        <v>62</v>
      </c>
      <c r="K504">
        <v>87</v>
      </c>
    </row>
    <row r="505" spans="1:11" x14ac:dyDescent="0.3">
      <c r="A505" t="s">
        <v>1008</v>
      </c>
      <c r="B505" t="s">
        <v>1009</v>
      </c>
      <c r="C505">
        <v>102</v>
      </c>
      <c r="D505" t="s">
        <v>28</v>
      </c>
      <c r="E505" s="1">
        <v>44826</v>
      </c>
      <c r="J505">
        <v>71</v>
      </c>
      <c r="K505">
        <v>79</v>
      </c>
    </row>
    <row r="506" spans="1:11" x14ac:dyDescent="0.3">
      <c r="A506" t="s">
        <v>78</v>
      </c>
      <c r="B506" t="s">
        <v>79</v>
      </c>
      <c r="C506">
        <v>129</v>
      </c>
      <c r="D506" t="s">
        <v>28</v>
      </c>
      <c r="E506" s="1">
        <v>45280</v>
      </c>
      <c r="J506">
        <v>77</v>
      </c>
      <c r="K506">
        <v>78</v>
      </c>
    </row>
    <row r="507" spans="1:11" x14ac:dyDescent="0.3">
      <c r="A507" t="s">
        <v>236</v>
      </c>
      <c r="B507" t="s">
        <v>237</v>
      </c>
      <c r="C507">
        <v>91</v>
      </c>
      <c r="D507" t="s">
        <v>18</v>
      </c>
      <c r="E507" s="1">
        <v>45387</v>
      </c>
      <c r="J507">
        <v>79</v>
      </c>
      <c r="K507">
        <v>97</v>
      </c>
    </row>
    <row r="508" spans="1:11" x14ac:dyDescent="0.3">
      <c r="A508" t="s">
        <v>1170</v>
      </c>
      <c r="B508" t="s">
        <v>1171</v>
      </c>
      <c r="C508">
        <v>104</v>
      </c>
      <c r="D508" t="s">
        <v>28</v>
      </c>
      <c r="E508" s="1">
        <v>45723</v>
      </c>
      <c r="J508">
        <v>66</v>
      </c>
      <c r="K508">
        <v>72</v>
      </c>
    </row>
    <row r="509" spans="1:11" x14ac:dyDescent="0.3">
      <c r="A509" t="s">
        <v>412</v>
      </c>
      <c r="B509" t="s">
        <v>413</v>
      </c>
      <c r="C509">
        <v>77</v>
      </c>
      <c r="D509" t="s">
        <v>18</v>
      </c>
      <c r="E509" s="1">
        <v>45016</v>
      </c>
      <c r="J509">
        <v>74</v>
      </c>
      <c r="K509">
        <v>94</v>
      </c>
    </row>
    <row r="510" spans="1:11" x14ac:dyDescent="0.3">
      <c r="A510" t="s">
        <v>713</v>
      </c>
      <c r="B510" t="s">
        <v>714</v>
      </c>
      <c r="C510">
        <v>114</v>
      </c>
      <c r="D510" t="s">
        <v>28</v>
      </c>
      <c r="E510" s="1">
        <v>44758</v>
      </c>
      <c r="J510">
        <v>73</v>
      </c>
      <c r="K510">
        <v>87</v>
      </c>
    </row>
    <row r="511" spans="1:11" x14ac:dyDescent="0.3">
      <c r="A511" t="s">
        <v>1799</v>
      </c>
      <c r="B511" t="s">
        <v>1800</v>
      </c>
      <c r="C511">
        <v>90</v>
      </c>
      <c r="D511" t="s">
        <v>18</v>
      </c>
      <c r="E511" s="1">
        <v>45194</v>
      </c>
      <c r="J511">
        <v>46</v>
      </c>
      <c r="K511">
        <v>33</v>
      </c>
    </row>
    <row r="512" spans="1:11" x14ac:dyDescent="0.3">
      <c r="A512" t="s">
        <v>1575</v>
      </c>
      <c r="B512" t="s">
        <v>1576</v>
      </c>
      <c r="C512">
        <v>105</v>
      </c>
      <c r="D512" t="s">
        <v>862</v>
      </c>
      <c r="E512" s="1">
        <v>44778</v>
      </c>
      <c r="H512">
        <v>7.7279999999999998</v>
      </c>
      <c r="J512">
        <v>48</v>
      </c>
      <c r="K512">
        <v>48</v>
      </c>
    </row>
    <row r="513" spans="1:11" x14ac:dyDescent="0.3">
      <c r="A513" t="s">
        <v>1198</v>
      </c>
      <c r="B513" t="s">
        <v>1199</v>
      </c>
      <c r="C513">
        <v>111</v>
      </c>
      <c r="D513" t="s">
        <v>28</v>
      </c>
      <c r="E513" s="1">
        <v>44797</v>
      </c>
      <c r="H513">
        <v>7.6539999999999999</v>
      </c>
      <c r="J513">
        <v>54</v>
      </c>
      <c r="K513">
        <v>72</v>
      </c>
    </row>
    <row r="514" spans="1:11" x14ac:dyDescent="0.3">
      <c r="A514" t="s">
        <v>1534</v>
      </c>
      <c r="B514" t="s">
        <v>1535</v>
      </c>
      <c r="C514">
        <v>104</v>
      </c>
      <c r="D514" t="s">
        <v>12</v>
      </c>
      <c r="E514" s="1">
        <v>45429</v>
      </c>
      <c r="J514">
        <v>46</v>
      </c>
      <c r="K514">
        <v>51</v>
      </c>
    </row>
    <row r="515" spans="1:11" x14ac:dyDescent="0.3">
      <c r="A515" t="s">
        <v>1494</v>
      </c>
      <c r="B515" t="s">
        <v>1495</v>
      </c>
      <c r="C515">
        <v>130</v>
      </c>
      <c r="D515" t="s">
        <v>15</v>
      </c>
      <c r="E515" s="1">
        <v>45513</v>
      </c>
      <c r="J515">
        <v>53</v>
      </c>
      <c r="K515">
        <v>55</v>
      </c>
    </row>
    <row r="516" spans="1:11" x14ac:dyDescent="0.3">
      <c r="A516" t="s">
        <v>592</v>
      </c>
      <c r="B516" t="s">
        <v>593</v>
      </c>
      <c r="C516">
        <v>108</v>
      </c>
      <c r="D516" t="s">
        <v>15</v>
      </c>
      <c r="E516" s="1">
        <v>45401</v>
      </c>
      <c r="J516">
        <v>70</v>
      </c>
      <c r="K516">
        <v>90</v>
      </c>
    </row>
    <row r="517" spans="1:11" x14ac:dyDescent="0.3">
      <c r="A517" t="s">
        <v>1434</v>
      </c>
      <c r="B517" t="s">
        <v>1435</v>
      </c>
      <c r="C517">
        <v>111</v>
      </c>
      <c r="D517" t="s">
        <v>28</v>
      </c>
      <c r="E517" s="1">
        <v>45408</v>
      </c>
      <c r="J517">
        <v>47</v>
      </c>
      <c r="K517">
        <v>58</v>
      </c>
    </row>
    <row r="518" spans="1:11" x14ac:dyDescent="0.3">
      <c r="A518" t="s">
        <v>685</v>
      </c>
      <c r="B518" t="s">
        <v>686</v>
      </c>
      <c r="C518">
        <v>115</v>
      </c>
      <c r="D518" t="s">
        <v>28</v>
      </c>
      <c r="E518" s="1">
        <v>44834</v>
      </c>
      <c r="J518">
        <v>72</v>
      </c>
      <c r="K518">
        <v>88</v>
      </c>
    </row>
    <row r="519" spans="1:11" x14ac:dyDescent="0.3">
      <c r="A519" t="s">
        <v>1354</v>
      </c>
      <c r="B519" t="s">
        <v>1355</v>
      </c>
      <c r="C519">
        <v>118</v>
      </c>
      <c r="D519" t="s">
        <v>28</v>
      </c>
      <c r="E519" s="1">
        <v>45476</v>
      </c>
      <c r="J519">
        <v>53</v>
      </c>
      <c r="K519">
        <v>63</v>
      </c>
    </row>
    <row r="520" spans="1:11" x14ac:dyDescent="0.3">
      <c r="A520" t="s">
        <v>1302</v>
      </c>
      <c r="B520" t="s">
        <v>1303</v>
      </c>
      <c r="C520">
        <v>129</v>
      </c>
      <c r="D520" t="s">
        <v>28</v>
      </c>
      <c r="E520" s="1">
        <v>44995</v>
      </c>
      <c r="J520">
        <v>53</v>
      </c>
      <c r="K520">
        <v>67</v>
      </c>
    </row>
    <row r="521" spans="1:11" x14ac:dyDescent="0.3">
      <c r="A521" t="s">
        <v>488</v>
      </c>
      <c r="B521" t="s">
        <v>489</v>
      </c>
      <c r="C521">
        <v>108</v>
      </c>
      <c r="D521" t="s">
        <v>28</v>
      </c>
      <c r="E521" s="1">
        <v>44697</v>
      </c>
      <c r="J521">
        <v>82</v>
      </c>
      <c r="K521">
        <v>93</v>
      </c>
    </row>
    <row r="522" spans="1:11" x14ac:dyDescent="0.3">
      <c r="A522" t="s">
        <v>994</v>
      </c>
      <c r="B522" t="s">
        <v>995</v>
      </c>
      <c r="C522">
        <v>103</v>
      </c>
      <c r="D522" t="s">
        <v>28</v>
      </c>
      <c r="E522" s="1">
        <v>45590</v>
      </c>
      <c r="J522">
        <v>62</v>
      </c>
      <c r="K522">
        <v>79</v>
      </c>
    </row>
    <row r="523" spans="1:11" x14ac:dyDescent="0.3">
      <c r="A523" t="s">
        <v>739</v>
      </c>
      <c r="B523" t="s">
        <v>740</v>
      </c>
      <c r="C523">
        <v>129</v>
      </c>
      <c r="D523" t="s">
        <v>28</v>
      </c>
      <c r="E523" s="1">
        <v>45443</v>
      </c>
      <c r="J523">
        <v>70</v>
      </c>
      <c r="K523">
        <v>86</v>
      </c>
    </row>
    <row r="524" spans="1:11" x14ac:dyDescent="0.3">
      <c r="A524" t="s">
        <v>604</v>
      </c>
      <c r="B524" t="s">
        <v>605</v>
      </c>
      <c r="C524">
        <v>95</v>
      </c>
      <c r="D524" t="s">
        <v>28</v>
      </c>
      <c r="E524" s="1">
        <v>45114</v>
      </c>
      <c r="J524">
        <v>74</v>
      </c>
      <c r="K524">
        <v>90</v>
      </c>
    </row>
    <row r="525" spans="1:11" x14ac:dyDescent="0.3">
      <c r="A525" t="s">
        <v>382</v>
      </c>
      <c r="B525" t="s">
        <v>383</v>
      </c>
      <c r="C525">
        <v>89</v>
      </c>
      <c r="D525" t="s">
        <v>63</v>
      </c>
      <c r="E525" s="1">
        <v>45583</v>
      </c>
      <c r="J525">
        <v>78</v>
      </c>
      <c r="K525">
        <v>94</v>
      </c>
    </row>
    <row r="526" spans="1:11" x14ac:dyDescent="0.3">
      <c r="A526" t="s">
        <v>1440</v>
      </c>
      <c r="B526" t="s">
        <v>1441</v>
      </c>
      <c r="C526">
        <v>93</v>
      </c>
      <c r="D526" t="s">
        <v>28</v>
      </c>
      <c r="E526" s="1">
        <v>45030</v>
      </c>
      <c r="J526">
        <v>53</v>
      </c>
      <c r="K526">
        <v>58</v>
      </c>
    </row>
    <row r="527" spans="1:11" x14ac:dyDescent="0.3">
      <c r="A527" t="s">
        <v>1682</v>
      </c>
      <c r="B527" t="s">
        <v>1683</v>
      </c>
      <c r="C527">
        <v>113</v>
      </c>
      <c r="D527" t="s">
        <v>28</v>
      </c>
      <c r="E527" s="1">
        <v>44841</v>
      </c>
      <c r="J527">
        <v>54</v>
      </c>
      <c r="K527">
        <v>42</v>
      </c>
    </row>
    <row r="528" spans="1:11" x14ac:dyDescent="0.3">
      <c r="A528" t="s">
        <v>867</v>
      </c>
      <c r="B528" t="s">
        <v>868</v>
      </c>
      <c r="C528">
        <v>106</v>
      </c>
      <c r="D528" t="s">
        <v>28</v>
      </c>
      <c r="E528" s="1">
        <v>45380</v>
      </c>
      <c r="J528">
        <v>60</v>
      </c>
      <c r="K528">
        <v>83</v>
      </c>
    </row>
    <row r="529" spans="1:11" x14ac:dyDescent="0.3">
      <c r="A529" t="s">
        <v>1090</v>
      </c>
      <c r="B529" t="s">
        <v>1091</v>
      </c>
      <c r="C529">
        <v>105</v>
      </c>
      <c r="D529" t="s">
        <v>15</v>
      </c>
      <c r="E529" s="1">
        <v>45100</v>
      </c>
      <c r="J529">
        <v>76</v>
      </c>
      <c r="K529">
        <v>76</v>
      </c>
    </row>
    <row r="530" spans="1:11" x14ac:dyDescent="0.3">
      <c r="A530" t="s">
        <v>1064</v>
      </c>
      <c r="B530" t="s">
        <v>1065</v>
      </c>
      <c r="C530">
        <v>124</v>
      </c>
      <c r="D530" t="s">
        <v>28</v>
      </c>
      <c r="E530" s="1">
        <v>45637</v>
      </c>
      <c r="J530">
        <v>63</v>
      </c>
      <c r="K530">
        <v>76</v>
      </c>
    </row>
    <row r="531" spans="1:11" x14ac:dyDescent="0.3">
      <c r="A531" t="s">
        <v>1154</v>
      </c>
      <c r="B531" t="s">
        <v>1155</v>
      </c>
      <c r="C531">
        <v>130</v>
      </c>
      <c r="D531" t="s">
        <v>28</v>
      </c>
      <c r="E531" s="1">
        <v>45285</v>
      </c>
      <c r="J531">
        <v>73</v>
      </c>
      <c r="K531">
        <v>73</v>
      </c>
    </row>
    <row r="532" spans="1:11" x14ac:dyDescent="0.3">
      <c r="A532" t="s">
        <v>747</v>
      </c>
      <c r="B532" t="s">
        <v>748</v>
      </c>
      <c r="C532">
        <v>113</v>
      </c>
      <c r="D532" t="s">
        <v>28</v>
      </c>
      <c r="E532" s="1">
        <v>45205</v>
      </c>
      <c r="J532">
        <v>73</v>
      </c>
      <c r="K532">
        <v>86</v>
      </c>
    </row>
    <row r="533" spans="1:11" x14ac:dyDescent="0.3">
      <c r="A533" t="s">
        <v>1276</v>
      </c>
      <c r="B533" t="s">
        <v>1277</v>
      </c>
      <c r="C533">
        <v>90</v>
      </c>
      <c r="D533" t="s">
        <v>15</v>
      </c>
      <c r="E533" s="1">
        <v>45121</v>
      </c>
      <c r="J533">
        <v>49</v>
      </c>
      <c r="K533">
        <v>68</v>
      </c>
    </row>
    <row r="534" spans="1:11" x14ac:dyDescent="0.3">
      <c r="A534" t="s">
        <v>1142</v>
      </c>
      <c r="B534" t="s">
        <v>1143</v>
      </c>
      <c r="C534">
        <v>126</v>
      </c>
      <c r="D534" t="s">
        <v>28</v>
      </c>
      <c r="E534" s="1">
        <v>44827</v>
      </c>
      <c r="J534">
        <v>54</v>
      </c>
      <c r="K534">
        <v>74</v>
      </c>
    </row>
    <row r="535" spans="1:11" x14ac:dyDescent="0.3">
      <c r="A535" t="s">
        <v>822</v>
      </c>
      <c r="B535" t="s">
        <v>823</v>
      </c>
      <c r="C535">
        <v>123</v>
      </c>
      <c r="D535" t="s">
        <v>15</v>
      </c>
      <c r="E535" s="1">
        <v>44617</v>
      </c>
      <c r="J535">
        <v>66</v>
      </c>
      <c r="K535">
        <v>85</v>
      </c>
    </row>
    <row r="536" spans="1:11" x14ac:dyDescent="0.3">
      <c r="A536" t="s">
        <v>59</v>
      </c>
      <c r="B536" t="s">
        <v>60</v>
      </c>
      <c r="C536">
        <v>99</v>
      </c>
      <c r="D536" t="s">
        <v>18</v>
      </c>
      <c r="E536" s="1">
        <v>44819</v>
      </c>
      <c r="J536">
        <v>70</v>
      </c>
      <c r="K536">
        <v>85</v>
      </c>
    </row>
    <row r="537" spans="1:11" x14ac:dyDescent="0.3">
      <c r="A537" t="s">
        <v>1228</v>
      </c>
      <c r="B537" t="s">
        <v>1229</v>
      </c>
      <c r="C537">
        <v>92</v>
      </c>
      <c r="D537" t="s">
        <v>18</v>
      </c>
      <c r="E537" s="1">
        <v>44874</v>
      </c>
      <c r="J537">
        <v>58</v>
      </c>
      <c r="K537">
        <v>71</v>
      </c>
    </row>
    <row r="538" spans="1:11" x14ac:dyDescent="0.3">
      <c r="A538" t="s">
        <v>759</v>
      </c>
      <c r="B538" t="s">
        <v>760</v>
      </c>
      <c r="C538">
        <v>98</v>
      </c>
      <c r="D538" t="s">
        <v>28</v>
      </c>
      <c r="E538" s="1">
        <v>44820</v>
      </c>
      <c r="J538">
        <v>64</v>
      </c>
      <c r="K538">
        <v>86</v>
      </c>
    </row>
    <row r="539" spans="1:11" x14ac:dyDescent="0.3">
      <c r="A539" t="s">
        <v>671</v>
      </c>
      <c r="B539" t="s">
        <v>672</v>
      </c>
      <c r="C539">
        <v>94</v>
      </c>
      <c r="D539" t="s">
        <v>25</v>
      </c>
      <c r="E539" s="1">
        <v>45142</v>
      </c>
      <c r="J539">
        <v>62</v>
      </c>
      <c r="K539">
        <v>88</v>
      </c>
    </row>
    <row r="540" spans="1:11" x14ac:dyDescent="0.3">
      <c r="A540" t="s">
        <v>1230</v>
      </c>
      <c r="B540" t="s">
        <v>1231</v>
      </c>
      <c r="C540">
        <v>104</v>
      </c>
      <c r="D540" t="s">
        <v>28</v>
      </c>
      <c r="E540" s="1">
        <v>44834</v>
      </c>
      <c r="J540">
        <v>62</v>
      </c>
      <c r="K540">
        <v>71</v>
      </c>
    </row>
    <row r="541" spans="1:11" x14ac:dyDescent="0.3">
      <c r="A541" t="s">
        <v>1352</v>
      </c>
      <c r="B541" t="s">
        <v>1353</v>
      </c>
      <c r="C541">
        <v>95</v>
      </c>
      <c r="D541" t="s">
        <v>28</v>
      </c>
      <c r="E541" s="1">
        <v>45737</v>
      </c>
      <c r="J541">
        <v>45</v>
      </c>
      <c r="K541">
        <v>63</v>
      </c>
    </row>
    <row r="542" spans="1:11" x14ac:dyDescent="0.3">
      <c r="A542" t="s">
        <v>830</v>
      </c>
      <c r="B542" t="s">
        <v>831</v>
      </c>
      <c r="C542">
        <v>93</v>
      </c>
      <c r="D542" t="s">
        <v>15</v>
      </c>
      <c r="E542" s="1">
        <v>45387</v>
      </c>
      <c r="J542">
        <v>64</v>
      </c>
      <c r="K542">
        <v>84</v>
      </c>
    </row>
    <row r="543" spans="1:11" x14ac:dyDescent="0.3">
      <c r="A543" t="s">
        <v>49</v>
      </c>
      <c r="B543" t="s">
        <v>50</v>
      </c>
      <c r="C543">
        <v>111</v>
      </c>
      <c r="D543" t="s">
        <v>12</v>
      </c>
      <c r="E543" s="1">
        <v>45449</v>
      </c>
      <c r="J543">
        <v>66</v>
      </c>
      <c r="K543">
        <v>90</v>
      </c>
    </row>
    <row r="544" spans="1:11" x14ac:dyDescent="0.3">
      <c r="A544" t="s">
        <v>796</v>
      </c>
      <c r="B544" t="s">
        <v>797</v>
      </c>
      <c r="C544">
        <v>92</v>
      </c>
      <c r="D544" t="s">
        <v>28</v>
      </c>
      <c r="E544" s="1">
        <v>45142</v>
      </c>
      <c r="J544">
        <v>67</v>
      </c>
      <c r="K544">
        <v>85</v>
      </c>
    </row>
    <row r="545" spans="1:11" x14ac:dyDescent="0.3">
      <c r="A545" t="s">
        <v>1631</v>
      </c>
      <c r="B545" t="s">
        <v>1632</v>
      </c>
      <c r="C545">
        <v>132</v>
      </c>
      <c r="D545" t="s">
        <v>28</v>
      </c>
      <c r="E545" s="1">
        <v>44904</v>
      </c>
      <c r="H545">
        <v>7.7590000000000003</v>
      </c>
      <c r="J545">
        <v>53</v>
      </c>
      <c r="K545">
        <v>45</v>
      </c>
    </row>
    <row r="546" spans="1:11" x14ac:dyDescent="0.3">
      <c r="A546" t="s">
        <v>886</v>
      </c>
      <c r="B546" t="s">
        <v>887</v>
      </c>
      <c r="C546">
        <v>89</v>
      </c>
      <c r="D546" t="s">
        <v>12</v>
      </c>
      <c r="E546" s="1">
        <v>45688</v>
      </c>
      <c r="J546">
        <v>66</v>
      </c>
      <c r="K546">
        <v>82</v>
      </c>
    </row>
    <row r="547" spans="1:11" x14ac:dyDescent="0.3">
      <c r="A547" t="s">
        <v>883</v>
      </c>
      <c r="B547" t="s">
        <v>884</v>
      </c>
      <c r="C547">
        <v>93</v>
      </c>
      <c r="D547" t="s">
        <v>63</v>
      </c>
      <c r="E547" s="1">
        <v>44680</v>
      </c>
      <c r="J547">
        <v>56</v>
      </c>
      <c r="K547">
        <v>83</v>
      </c>
    </row>
    <row r="548" spans="1:11" x14ac:dyDescent="0.3">
      <c r="A548" t="s">
        <v>982</v>
      </c>
      <c r="B548" t="s">
        <v>983</v>
      </c>
      <c r="C548">
        <v>115</v>
      </c>
      <c r="D548" t="s">
        <v>28</v>
      </c>
      <c r="E548" s="1">
        <v>45414</v>
      </c>
      <c r="J548">
        <v>67</v>
      </c>
      <c r="K548">
        <v>80</v>
      </c>
    </row>
    <row r="549" spans="1:11" x14ac:dyDescent="0.3">
      <c r="A549" t="s">
        <v>1851</v>
      </c>
      <c r="B549" t="s">
        <v>1852</v>
      </c>
      <c r="C549">
        <v>118</v>
      </c>
      <c r="D549" t="s">
        <v>15</v>
      </c>
      <c r="E549" s="1">
        <v>45275</v>
      </c>
      <c r="J549">
        <v>39</v>
      </c>
      <c r="K549">
        <v>29</v>
      </c>
    </row>
    <row r="550" spans="1:11" x14ac:dyDescent="0.3">
      <c r="A550" t="s">
        <v>112</v>
      </c>
      <c r="B550" t="s">
        <v>113</v>
      </c>
      <c r="C550">
        <v>93</v>
      </c>
      <c r="D550" t="s">
        <v>28</v>
      </c>
      <c r="E550" s="1">
        <v>45156</v>
      </c>
      <c r="J550">
        <v>54</v>
      </c>
      <c r="K550">
        <v>54</v>
      </c>
    </row>
    <row r="551" spans="1:11" x14ac:dyDescent="0.3">
      <c r="A551" t="s">
        <v>1585</v>
      </c>
      <c r="B551" t="s">
        <v>1586</v>
      </c>
      <c r="C551">
        <v>108</v>
      </c>
      <c r="D551" t="s">
        <v>15</v>
      </c>
      <c r="E551" s="1">
        <v>45226</v>
      </c>
      <c r="J551">
        <v>28</v>
      </c>
      <c r="K551">
        <v>47</v>
      </c>
    </row>
    <row r="552" spans="1:11" x14ac:dyDescent="0.3">
      <c r="A552" t="s">
        <v>1841</v>
      </c>
      <c r="B552" t="s">
        <v>1842</v>
      </c>
      <c r="C552">
        <v>123</v>
      </c>
      <c r="D552" t="s">
        <v>15</v>
      </c>
      <c r="E552" s="1">
        <v>45611</v>
      </c>
      <c r="J552">
        <v>34</v>
      </c>
      <c r="K552">
        <v>30</v>
      </c>
    </row>
    <row r="553" spans="1:11" x14ac:dyDescent="0.3">
      <c r="A553" t="s">
        <v>869</v>
      </c>
      <c r="B553" t="s">
        <v>870</v>
      </c>
      <c r="C553">
        <v>98</v>
      </c>
      <c r="D553" t="s">
        <v>12</v>
      </c>
      <c r="E553" s="1">
        <v>45275</v>
      </c>
      <c r="J553">
        <v>63</v>
      </c>
      <c r="K553">
        <v>83</v>
      </c>
    </row>
    <row r="554" spans="1:11" x14ac:dyDescent="0.3">
      <c r="A554" t="s">
        <v>1492</v>
      </c>
      <c r="B554" t="s">
        <v>1493</v>
      </c>
      <c r="C554">
        <v>94</v>
      </c>
      <c r="D554" t="s">
        <v>28</v>
      </c>
      <c r="E554" s="1">
        <v>45517</v>
      </c>
      <c r="J554">
        <v>48</v>
      </c>
      <c r="K554">
        <v>55</v>
      </c>
    </row>
    <row r="555" spans="1:11" x14ac:dyDescent="0.3">
      <c r="A555" t="s">
        <v>1384</v>
      </c>
      <c r="B555" t="s">
        <v>1385</v>
      </c>
      <c r="C555">
        <v>110</v>
      </c>
      <c r="D555" t="s">
        <v>90</v>
      </c>
      <c r="E555" s="1">
        <v>44790</v>
      </c>
      <c r="J555">
        <v>49</v>
      </c>
      <c r="K555">
        <v>62</v>
      </c>
    </row>
    <row r="556" spans="1:11" x14ac:dyDescent="0.3">
      <c r="A556" t="s">
        <v>1076</v>
      </c>
      <c r="B556" t="s">
        <v>1077</v>
      </c>
      <c r="C556">
        <v>110</v>
      </c>
      <c r="D556" t="s">
        <v>28</v>
      </c>
      <c r="E556" s="1">
        <v>45457</v>
      </c>
      <c r="J556">
        <v>69</v>
      </c>
      <c r="K556">
        <v>76</v>
      </c>
    </row>
    <row r="557" spans="1:11" x14ac:dyDescent="0.3">
      <c r="A557" t="s">
        <v>1018</v>
      </c>
      <c r="B557" t="s">
        <v>1019</v>
      </c>
      <c r="C557">
        <v>125</v>
      </c>
      <c r="D557" t="s">
        <v>18</v>
      </c>
      <c r="E557" s="1">
        <v>45576</v>
      </c>
      <c r="J557">
        <v>62</v>
      </c>
      <c r="K557">
        <v>78</v>
      </c>
    </row>
    <row r="558" spans="1:11" x14ac:dyDescent="0.3">
      <c r="A558" t="s">
        <v>711</v>
      </c>
      <c r="B558" t="s">
        <v>712</v>
      </c>
      <c r="C558">
        <v>142</v>
      </c>
      <c r="D558" t="s">
        <v>18</v>
      </c>
      <c r="E558" s="1">
        <v>44762</v>
      </c>
      <c r="J558">
        <v>54</v>
      </c>
      <c r="K558">
        <v>87</v>
      </c>
    </row>
    <row r="559" spans="1:11" x14ac:dyDescent="0.3">
      <c r="A559" t="s">
        <v>1308</v>
      </c>
      <c r="B559" t="s">
        <v>1309</v>
      </c>
      <c r="C559">
        <v>133</v>
      </c>
      <c r="D559" t="s">
        <v>15</v>
      </c>
      <c r="E559" s="1">
        <v>45618</v>
      </c>
      <c r="J559">
        <v>43</v>
      </c>
      <c r="K559">
        <v>66</v>
      </c>
    </row>
    <row r="560" spans="1:11" x14ac:dyDescent="0.3">
      <c r="A560" t="s">
        <v>970</v>
      </c>
      <c r="B560" t="s">
        <v>971</v>
      </c>
      <c r="C560">
        <v>90</v>
      </c>
      <c r="D560" t="s">
        <v>28</v>
      </c>
      <c r="E560" s="1">
        <v>45612</v>
      </c>
      <c r="J560">
        <v>65</v>
      </c>
      <c r="K560">
        <v>80</v>
      </c>
    </row>
    <row r="561" spans="1:11" x14ac:dyDescent="0.3">
      <c r="A561" t="s">
        <v>956</v>
      </c>
      <c r="B561" t="s">
        <v>957</v>
      </c>
      <c r="C561">
        <v>99</v>
      </c>
      <c r="D561" t="s">
        <v>28</v>
      </c>
      <c r="E561" s="1">
        <v>45105</v>
      </c>
      <c r="J561">
        <v>55</v>
      </c>
      <c r="K561">
        <v>81</v>
      </c>
    </row>
    <row r="562" spans="1:11" x14ac:dyDescent="0.3">
      <c r="A562" t="s">
        <v>873</v>
      </c>
      <c r="B562" t="s">
        <v>874</v>
      </c>
      <c r="C562">
        <v>93</v>
      </c>
      <c r="D562" t="s">
        <v>15</v>
      </c>
      <c r="E562" s="1">
        <v>45191</v>
      </c>
      <c r="J562">
        <v>60</v>
      </c>
      <c r="K562">
        <v>83</v>
      </c>
    </row>
    <row r="563" spans="1:11" x14ac:dyDescent="0.3">
      <c r="A563" t="s">
        <v>1853</v>
      </c>
      <c r="B563" t="s">
        <v>1854</v>
      </c>
      <c r="C563">
        <v>110</v>
      </c>
      <c r="D563" t="s">
        <v>15</v>
      </c>
      <c r="E563" s="1">
        <v>45047</v>
      </c>
      <c r="J563">
        <v>37</v>
      </c>
      <c r="K563">
        <v>29</v>
      </c>
    </row>
    <row r="564" spans="1:11" x14ac:dyDescent="0.3">
      <c r="A564" t="s">
        <v>1772</v>
      </c>
      <c r="B564" t="s">
        <v>1773</v>
      </c>
      <c r="C564">
        <v>122</v>
      </c>
      <c r="D564" t="s">
        <v>28</v>
      </c>
      <c r="E564" s="1">
        <v>45429</v>
      </c>
      <c r="J564">
        <v>43</v>
      </c>
      <c r="K564">
        <v>35</v>
      </c>
    </row>
    <row r="565" spans="1:11" x14ac:dyDescent="0.3">
      <c r="A565" t="s">
        <v>1372</v>
      </c>
      <c r="B565" t="s">
        <v>1373</v>
      </c>
      <c r="C565">
        <v>144</v>
      </c>
      <c r="D565" t="s">
        <v>28</v>
      </c>
      <c r="E565" s="1">
        <v>45667</v>
      </c>
      <c r="J565">
        <v>60</v>
      </c>
      <c r="K565">
        <v>62</v>
      </c>
    </row>
    <row r="566" spans="1:11" x14ac:dyDescent="0.3">
      <c r="A566" t="s">
        <v>1480</v>
      </c>
      <c r="B566" t="s">
        <v>1481</v>
      </c>
      <c r="C566">
        <v>126</v>
      </c>
      <c r="D566" t="s">
        <v>15</v>
      </c>
      <c r="E566" s="1">
        <v>44708</v>
      </c>
      <c r="J566">
        <v>53</v>
      </c>
      <c r="K566">
        <v>56</v>
      </c>
    </row>
    <row r="567" spans="1:11" x14ac:dyDescent="0.3">
      <c r="A567" t="s">
        <v>1651</v>
      </c>
      <c r="B567" t="s">
        <v>1652</v>
      </c>
      <c r="C567">
        <v>93</v>
      </c>
      <c r="D567" t="s">
        <v>63</v>
      </c>
      <c r="E567" s="1">
        <v>45492</v>
      </c>
      <c r="J567">
        <v>50</v>
      </c>
      <c r="K567">
        <v>43</v>
      </c>
    </row>
    <row r="568" spans="1:11" x14ac:dyDescent="0.3">
      <c r="A568" t="s">
        <v>400</v>
      </c>
      <c r="B568" t="s">
        <v>401</v>
      </c>
      <c r="C568">
        <v>103</v>
      </c>
      <c r="D568" t="s">
        <v>15</v>
      </c>
      <c r="E568" s="1">
        <v>45268</v>
      </c>
      <c r="J568">
        <v>74</v>
      </c>
      <c r="K568">
        <v>94</v>
      </c>
    </row>
    <row r="569" spans="1:11" x14ac:dyDescent="0.3">
      <c r="A569" t="s">
        <v>1555</v>
      </c>
      <c r="B569" t="s">
        <v>1556</v>
      </c>
      <c r="C569">
        <v>134</v>
      </c>
      <c r="D569" t="s">
        <v>15</v>
      </c>
      <c r="E569" s="1">
        <v>45639</v>
      </c>
      <c r="J569">
        <v>54</v>
      </c>
      <c r="K569">
        <v>49</v>
      </c>
    </row>
    <row r="570" spans="1:11" x14ac:dyDescent="0.3">
      <c r="A570" t="s">
        <v>1688</v>
      </c>
      <c r="B570" t="s">
        <v>1689</v>
      </c>
      <c r="C570">
        <v>111</v>
      </c>
      <c r="D570" t="s">
        <v>28</v>
      </c>
      <c r="E570" s="1">
        <v>45547</v>
      </c>
      <c r="J570">
        <v>44</v>
      </c>
      <c r="K570">
        <v>41</v>
      </c>
    </row>
    <row r="571" spans="1:11" x14ac:dyDescent="0.3">
      <c r="A571" t="s">
        <v>1760</v>
      </c>
      <c r="B571" t="s">
        <v>1761</v>
      </c>
      <c r="C571">
        <v>104</v>
      </c>
      <c r="D571" t="s">
        <v>15</v>
      </c>
      <c r="E571" s="1">
        <v>45597</v>
      </c>
      <c r="J571">
        <v>39</v>
      </c>
      <c r="K571">
        <v>36</v>
      </c>
    </row>
    <row r="572" spans="1:11" x14ac:dyDescent="0.3">
      <c r="A572" t="s">
        <v>549</v>
      </c>
      <c r="B572" t="s">
        <v>550</v>
      </c>
      <c r="C572">
        <v>93</v>
      </c>
      <c r="D572" t="s">
        <v>551</v>
      </c>
      <c r="E572" s="1">
        <v>45324</v>
      </c>
      <c r="J572">
        <v>72</v>
      </c>
      <c r="K572">
        <v>91</v>
      </c>
    </row>
    <row r="573" spans="1:11" x14ac:dyDescent="0.3">
      <c r="A573" t="s">
        <v>962</v>
      </c>
      <c r="B573" t="s">
        <v>963</v>
      </c>
      <c r="C573">
        <v>103</v>
      </c>
      <c r="D573" t="s">
        <v>15</v>
      </c>
      <c r="E573" s="1">
        <v>44799</v>
      </c>
      <c r="J573">
        <v>66</v>
      </c>
      <c r="K573">
        <v>81</v>
      </c>
    </row>
    <row r="574" spans="1:11" x14ac:dyDescent="0.3">
      <c r="A574" t="s">
        <v>689</v>
      </c>
      <c r="B574" t="s">
        <v>690</v>
      </c>
      <c r="C574">
        <v>96</v>
      </c>
      <c r="D574" t="s">
        <v>28</v>
      </c>
      <c r="E574" s="1">
        <v>44715</v>
      </c>
      <c r="J574">
        <v>72</v>
      </c>
      <c r="K574">
        <v>88</v>
      </c>
    </row>
    <row r="575" spans="1:11" x14ac:dyDescent="0.3">
      <c r="A575" t="s">
        <v>1544</v>
      </c>
      <c r="B575" t="s">
        <v>1545</v>
      </c>
      <c r="C575">
        <v>114</v>
      </c>
      <c r="D575" t="s">
        <v>28</v>
      </c>
      <c r="E575" s="1">
        <v>44988</v>
      </c>
      <c r="J575">
        <v>51</v>
      </c>
      <c r="K575">
        <v>51</v>
      </c>
    </row>
    <row r="576" spans="1:11" x14ac:dyDescent="0.3">
      <c r="A576" t="s">
        <v>892</v>
      </c>
      <c r="B576" t="s">
        <v>893</v>
      </c>
      <c r="C576">
        <v>110</v>
      </c>
      <c r="D576" t="s">
        <v>28</v>
      </c>
      <c r="E576" s="1">
        <v>45582</v>
      </c>
      <c r="J576">
        <v>62</v>
      </c>
      <c r="K576">
        <v>82</v>
      </c>
    </row>
    <row r="577" spans="1:11" x14ac:dyDescent="0.3">
      <c r="A577" t="s">
        <v>761</v>
      </c>
      <c r="B577" t="s">
        <v>762</v>
      </c>
      <c r="C577">
        <v>118</v>
      </c>
      <c r="D577" t="s">
        <v>63</v>
      </c>
      <c r="E577" s="1">
        <v>44820</v>
      </c>
      <c r="J577">
        <v>66</v>
      </c>
      <c r="K577">
        <v>86</v>
      </c>
    </row>
    <row r="578" spans="1:11" x14ac:dyDescent="0.3">
      <c r="A578" t="s">
        <v>1432</v>
      </c>
      <c r="B578" t="s">
        <v>1433</v>
      </c>
      <c r="C578">
        <v>121</v>
      </c>
      <c r="D578" t="s">
        <v>28</v>
      </c>
      <c r="E578" s="1">
        <v>45457</v>
      </c>
      <c r="J578">
        <v>54</v>
      </c>
      <c r="K578">
        <v>58</v>
      </c>
    </row>
    <row r="579" spans="1:11" x14ac:dyDescent="0.3">
      <c r="A579" t="s">
        <v>1150</v>
      </c>
      <c r="B579" t="s">
        <v>1151</v>
      </c>
      <c r="C579">
        <v>103</v>
      </c>
      <c r="D579" t="s">
        <v>28</v>
      </c>
      <c r="E579" s="1">
        <v>45478</v>
      </c>
      <c r="J579">
        <v>64</v>
      </c>
      <c r="K579">
        <v>73</v>
      </c>
    </row>
    <row r="580" spans="1:11" x14ac:dyDescent="0.3">
      <c r="A580" t="s">
        <v>1224</v>
      </c>
      <c r="B580" t="s">
        <v>1225</v>
      </c>
      <c r="C580">
        <v>108</v>
      </c>
      <c r="D580" t="s">
        <v>15</v>
      </c>
      <c r="E580" s="1">
        <v>45051</v>
      </c>
      <c r="J580">
        <v>59</v>
      </c>
      <c r="K580">
        <v>71</v>
      </c>
    </row>
    <row r="581" spans="1:11" x14ac:dyDescent="0.3">
      <c r="A581" t="s">
        <v>1036</v>
      </c>
      <c r="B581" t="s">
        <v>1037</v>
      </c>
      <c r="C581">
        <v>98</v>
      </c>
      <c r="D581" t="s">
        <v>28</v>
      </c>
      <c r="E581" s="1">
        <v>45709</v>
      </c>
      <c r="J581">
        <v>62</v>
      </c>
      <c r="K581">
        <v>77</v>
      </c>
    </row>
    <row r="582" spans="1:11" x14ac:dyDescent="0.3">
      <c r="A582" t="s">
        <v>84</v>
      </c>
      <c r="B582" t="s">
        <v>85</v>
      </c>
      <c r="C582">
        <v>91</v>
      </c>
      <c r="D582" t="s">
        <v>28</v>
      </c>
      <c r="E582" s="1">
        <v>44624</v>
      </c>
      <c r="J582">
        <v>69</v>
      </c>
      <c r="K582">
        <v>77</v>
      </c>
    </row>
    <row r="583" spans="1:11" x14ac:dyDescent="0.3">
      <c r="A583" t="s">
        <v>649</v>
      </c>
      <c r="B583" t="s">
        <v>650</v>
      </c>
      <c r="C583">
        <v>93</v>
      </c>
      <c r="D583" t="s">
        <v>28</v>
      </c>
      <c r="E583" s="1">
        <v>44631</v>
      </c>
      <c r="J583">
        <v>71</v>
      </c>
      <c r="K583">
        <v>89</v>
      </c>
    </row>
    <row r="584" spans="1:11" x14ac:dyDescent="0.3">
      <c r="A584" t="s">
        <v>639</v>
      </c>
      <c r="B584" t="s">
        <v>640</v>
      </c>
      <c r="C584">
        <v>107</v>
      </c>
      <c r="D584" t="s">
        <v>28</v>
      </c>
      <c r="E584" s="1">
        <v>45049</v>
      </c>
      <c r="J584">
        <v>86</v>
      </c>
      <c r="K584">
        <v>89</v>
      </c>
    </row>
    <row r="585" spans="1:11" x14ac:dyDescent="0.3">
      <c r="A585" t="s">
        <v>1130</v>
      </c>
      <c r="B585" t="s">
        <v>1131</v>
      </c>
      <c r="C585">
        <v>96</v>
      </c>
      <c r="D585" t="s">
        <v>28</v>
      </c>
      <c r="E585" s="1">
        <v>44785</v>
      </c>
      <c r="J585">
        <v>59</v>
      </c>
      <c r="K585">
        <v>75</v>
      </c>
    </row>
    <row r="586" spans="1:11" x14ac:dyDescent="0.3">
      <c r="A586" t="s">
        <v>697</v>
      </c>
      <c r="B586" t="s">
        <v>698</v>
      </c>
      <c r="C586">
        <v>104</v>
      </c>
      <c r="D586" t="s">
        <v>28</v>
      </c>
      <c r="E586" s="1">
        <v>45429</v>
      </c>
      <c r="J586">
        <v>72</v>
      </c>
      <c r="K586">
        <v>87</v>
      </c>
    </row>
    <row r="587" spans="1:11" x14ac:dyDescent="0.3">
      <c r="A587" t="s">
        <v>490</v>
      </c>
      <c r="B587" t="s">
        <v>491</v>
      </c>
      <c r="C587">
        <v>94</v>
      </c>
      <c r="D587" t="s">
        <v>28</v>
      </c>
      <c r="E587" s="1">
        <v>44682</v>
      </c>
      <c r="J587">
        <v>77</v>
      </c>
      <c r="K587">
        <v>93</v>
      </c>
    </row>
    <row r="588" spans="1:11" x14ac:dyDescent="0.3">
      <c r="A588" t="s">
        <v>834</v>
      </c>
      <c r="B588" t="s">
        <v>835</v>
      </c>
      <c r="C588">
        <v>106</v>
      </c>
      <c r="D588" t="s">
        <v>28</v>
      </c>
      <c r="E588" s="1">
        <v>45275</v>
      </c>
      <c r="J588">
        <v>75</v>
      </c>
      <c r="K588">
        <v>84</v>
      </c>
    </row>
    <row r="589" spans="1:11" x14ac:dyDescent="0.3">
      <c r="A589" t="s">
        <v>828</v>
      </c>
      <c r="B589" t="s">
        <v>829</v>
      </c>
      <c r="C589">
        <v>111</v>
      </c>
      <c r="D589" t="s">
        <v>28</v>
      </c>
      <c r="E589" s="1">
        <v>45527</v>
      </c>
      <c r="J589">
        <v>83</v>
      </c>
      <c r="K589">
        <v>84</v>
      </c>
    </row>
    <row r="590" spans="1:11" x14ac:dyDescent="0.3">
      <c r="A590" t="s">
        <v>1655</v>
      </c>
      <c r="B590" t="s">
        <v>1656</v>
      </c>
      <c r="C590">
        <v>110</v>
      </c>
      <c r="D590" t="s">
        <v>28</v>
      </c>
      <c r="E590" s="1">
        <v>45373</v>
      </c>
      <c r="J590">
        <v>45</v>
      </c>
      <c r="K590">
        <v>43</v>
      </c>
    </row>
    <row r="591" spans="1:11" x14ac:dyDescent="0.3">
      <c r="A591" t="s">
        <v>1186</v>
      </c>
      <c r="B591" t="s">
        <v>1187</v>
      </c>
      <c r="C591">
        <v>87</v>
      </c>
      <c r="D591" t="s">
        <v>12</v>
      </c>
      <c r="E591" s="1">
        <v>44904</v>
      </c>
      <c r="J591">
        <v>46</v>
      </c>
      <c r="K591">
        <v>72</v>
      </c>
    </row>
    <row r="592" spans="1:11" x14ac:dyDescent="0.3">
      <c r="A592" t="s">
        <v>537</v>
      </c>
      <c r="B592" t="s">
        <v>538</v>
      </c>
      <c r="C592">
        <v>99</v>
      </c>
      <c r="D592" t="s">
        <v>28</v>
      </c>
      <c r="E592" s="1">
        <v>45583</v>
      </c>
      <c r="J592">
        <v>71</v>
      </c>
      <c r="K592">
        <v>91</v>
      </c>
    </row>
    <row r="593" spans="1:11" x14ac:dyDescent="0.3">
      <c r="A593" t="s">
        <v>1166</v>
      </c>
      <c r="B593" t="s">
        <v>1167</v>
      </c>
      <c r="C593">
        <v>93</v>
      </c>
      <c r="D593" t="s">
        <v>12</v>
      </c>
      <c r="E593" s="1">
        <v>44911</v>
      </c>
      <c r="J593">
        <v>53</v>
      </c>
      <c r="K593">
        <v>73</v>
      </c>
    </row>
    <row r="594" spans="1:11" x14ac:dyDescent="0.3">
      <c r="A594" t="s">
        <v>1657</v>
      </c>
      <c r="B594" t="s">
        <v>1658</v>
      </c>
      <c r="C594">
        <v>107</v>
      </c>
      <c r="D594" t="s">
        <v>15</v>
      </c>
      <c r="E594" s="1">
        <v>45336</v>
      </c>
      <c r="J594">
        <v>43</v>
      </c>
      <c r="K594">
        <v>43</v>
      </c>
    </row>
    <row r="595" spans="1:11" x14ac:dyDescent="0.3">
      <c r="A595" t="s">
        <v>1234</v>
      </c>
      <c r="B595" t="s">
        <v>1235</v>
      </c>
      <c r="C595">
        <v>111</v>
      </c>
      <c r="D595" t="s">
        <v>28</v>
      </c>
      <c r="E595" s="1">
        <v>44610</v>
      </c>
      <c r="J595">
        <v>62</v>
      </c>
      <c r="K595">
        <v>71</v>
      </c>
    </row>
    <row r="596" spans="1:11" x14ac:dyDescent="0.3">
      <c r="A596" t="s">
        <v>570</v>
      </c>
      <c r="B596" t="s">
        <v>571</v>
      </c>
      <c r="C596">
        <v>99</v>
      </c>
      <c r="D596" t="s">
        <v>18</v>
      </c>
      <c r="E596" s="1">
        <v>44848</v>
      </c>
      <c r="J596">
        <v>72</v>
      </c>
      <c r="K596">
        <v>91</v>
      </c>
    </row>
    <row r="597" spans="1:11" x14ac:dyDescent="0.3">
      <c r="A597" t="s">
        <v>342</v>
      </c>
      <c r="B597" t="s">
        <v>343</v>
      </c>
      <c r="C597">
        <v>106</v>
      </c>
      <c r="D597" t="s">
        <v>18</v>
      </c>
      <c r="E597" s="1">
        <v>45408</v>
      </c>
      <c r="J597">
        <v>70</v>
      </c>
      <c r="K597">
        <v>95</v>
      </c>
    </row>
    <row r="598" spans="1:11" x14ac:dyDescent="0.3">
      <c r="A598" t="s">
        <v>1625</v>
      </c>
      <c r="B598" t="s">
        <v>1626</v>
      </c>
      <c r="C598">
        <v>113</v>
      </c>
      <c r="D598" t="s">
        <v>28</v>
      </c>
      <c r="E598" s="1">
        <v>45358</v>
      </c>
      <c r="J598">
        <v>44</v>
      </c>
      <c r="K598">
        <v>45</v>
      </c>
    </row>
    <row r="599" spans="1:11" x14ac:dyDescent="0.3">
      <c r="A599" t="s">
        <v>348</v>
      </c>
      <c r="B599" t="s">
        <v>349</v>
      </c>
      <c r="C599">
        <v>98</v>
      </c>
      <c r="D599" t="s">
        <v>28</v>
      </c>
      <c r="E599" s="1">
        <v>45174</v>
      </c>
      <c r="J599">
        <v>78</v>
      </c>
      <c r="K599">
        <v>95</v>
      </c>
    </row>
    <row r="600" spans="1:11" x14ac:dyDescent="0.3">
      <c r="A600" t="s">
        <v>1016</v>
      </c>
      <c r="B600" t="s">
        <v>1017</v>
      </c>
      <c r="C600">
        <v>116</v>
      </c>
      <c r="D600" t="s">
        <v>28</v>
      </c>
      <c r="E600" s="1">
        <v>45632</v>
      </c>
      <c r="J600">
        <v>67</v>
      </c>
      <c r="K600">
        <v>78</v>
      </c>
    </row>
    <row r="601" spans="1:11" x14ac:dyDescent="0.3">
      <c r="A601" t="s">
        <v>871</v>
      </c>
      <c r="B601" t="s">
        <v>872</v>
      </c>
      <c r="C601">
        <v>106</v>
      </c>
      <c r="D601" t="s">
        <v>28</v>
      </c>
      <c r="E601" s="1">
        <v>45247</v>
      </c>
      <c r="J601">
        <v>63</v>
      </c>
      <c r="K601">
        <v>83</v>
      </c>
    </row>
    <row r="602" spans="1:11" x14ac:dyDescent="0.3">
      <c r="A602" t="s">
        <v>66</v>
      </c>
      <c r="B602" t="s">
        <v>67</v>
      </c>
      <c r="C602">
        <v>92</v>
      </c>
      <c r="D602" t="s">
        <v>28</v>
      </c>
      <c r="E602" s="1">
        <v>44869</v>
      </c>
      <c r="J602">
        <v>82</v>
      </c>
      <c r="K602">
        <v>84</v>
      </c>
    </row>
    <row r="603" spans="1:11" x14ac:dyDescent="0.3">
      <c r="A603" t="s">
        <v>1400</v>
      </c>
      <c r="B603" t="s">
        <v>1401</v>
      </c>
      <c r="C603">
        <v>112</v>
      </c>
      <c r="D603" t="s">
        <v>28</v>
      </c>
      <c r="E603" s="1">
        <v>45527</v>
      </c>
      <c r="J603">
        <v>45</v>
      </c>
      <c r="K603">
        <v>60</v>
      </c>
    </row>
    <row r="604" spans="1:11" x14ac:dyDescent="0.3">
      <c r="A604" t="s">
        <v>146</v>
      </c>
      <c r="B604" t="s">
        <v>147</v>
      </c>
      <c r="C604">
        <v>141</v>
      </c>
      <c r="D604" t="s">
        <v>15</v>
      </c>
      <c r="E604" s="1">
        <v>45534</v>
      </c>
      <c r="J604">
        <v>22</v>
      </c>
      <c r="K604">
        <v>18</v>
      </c>
    </row>
    <row r="605" spans="1:11" x14ac:dyDescent="0.3">
      <c r="A605" t="s">
        <v>1148</v>
      </c>
      <c r="B605" t="s">
        <v>1149</v>
      </c>
      <c r="C605">
        <v>118</v>
      </c>
      <c r="D605" t="s">
        <v>28</v>
      </c>
      <c r="E605" s="1">
        <v>45562</v>
      </c>
      <c r="J605">
        <v>61</v>
      </c>
      <c r="K605">
        <v>73</v>
      </c>
    </row>
    <row r="606" spans="1:11" x14ac:dyDescent="0.3">
      <c r="A606" t="s">
        <v>1250</v>
      </c>
      <c r="B606" t="s">
        <v>1251</v>
      </c>
      <c r="C606">
        <v>110</v>
      </c>
      <c r="D606" t="s">
        <v>63</v>
      </c>
      <c r="E606" s="1">
        <v>44804</v>
      </c>
      <c r="J606">
        <v>57</v>
      </c>
      <c r="K606">
        <v>70</v>
      </c>
    </row>
    <row r="607" spans="1:11" x14ac:dyDescent="0.3">
      <c r="A607" t="s">
        <v>1140</v>
      </c>
      <c r="B607" t="s">
        <v>1141</v>
      </c>
      <c r="C607">
        <v>106</v>
      </c>
      <c r="D607" t="s">
        <v>28</v>
      </c>
      <c r="E607" s="1">
        <v>44834</v>
      </c>
      <c r="J607">
        <v>69</v>
      </c>
      <c r="K607">
        <v>74</v>
      </c>
    </row>
    <row r="608" spans="1:11" x14ac:dyDescent="0.3">
      <c r="A608" t="s">
        <v>1876</v>
      </c>
      <c r="B608" t="s">
        <v>1877</v>
      </c>
      <c r="C608">
        <v>104</v>
      </c>
      <c r="D608" t="s">
        <v>28</v>
      </c>
      <c r="E608" s="1">
        <v>45219</v>
      </c>
      <c r="J608">
        <v>42</v>
      </c>
      <c r="K608">
        <v>27</v>
      </c>
    </row>
    <row r="609" spans="1:11" x14ac:dyDescent="0.3">
      <c r="A609" t="s">
        <v>763</v>
      </c>
      <c r="B609" t="s">
        <v>764</v>
      </c>
      <c r="C609">
        <v>94</v>
      </c>
      <c r="D609" t="s">
        <v>28</v>
      </c>
      <c r="E609" s="1">
        <v>44785</v>
      </c>
      <c r="J609">
        <v>69</v>
      </c>
      <c r="K609">
        <v>86</v>
      </c>
    </row>
    <row r="610" spans="1:11" x14ac:dyDescent="0.3">
      <c r="A610" t="s">
        <v>781</v>
      </c>
      <c r="B610" t="s">
        <v>782</v>
      </c>
      <c r="C610">
        <v>113</v>
      </c>
      <c r="D610" t="s">
        <v>15</v>
      </c>
      <c r="E610" s="1">
        <v>45471</v>
      </c>
      <c r="J610">
        <v>83</v>
      </c>
      <c r="K610">
        <v>85</v>
      </c>
    </row>
    <row r="611" spans="1:11" x14ac:dyDescent="0.3">
      <c r="A611" t="s">
        <v>1690</v>
      </c>
      <c r="B611" t="s">
        <v>1691</v>
      </c>
      <c r="C611">
        <v>101</v>
      </c>
      <c r="D611" t="s">
        <v>28</v>
      </c>
      <c r="E611" s="1">
        <v>45513</v>
      </c>
      <c r="J611">
        <v>48</v>
      </c>
      <c r="K611">
        <v>41</v>
      </c>
    </row>
    <row r="612" spans="1:11" x14ac:dyDescent="0.3">
      <c r="A612" t="s">
        <v>1740</v>
      </c>
      <c r="B612" t="s">
        <v>1741</v>
      </c>
      <c r="C612">
        <v>166</v>
      </c>
      <c r="D612" t="s">
        <v>18</v>
      </c>
      <c r="E612" s="1">
        <v>45316</v>
      </c>
      <c r="J612">
        <v>63</v>
      </c>
      <c r="K612">
        <v>38</v>
      </c>
    </row>
    <row r="613" spans="1:11" x14ac:dyDescent="0.3">
      <c r="A613" t="s">
        <v>576</v>
      </c>
      <c r="B613" t="s">
        <v>577</v>
      </c>
      <c r="C613">
        <v>105</v>
      </c>
      <c r="D613" t="s">
        <v>28</v>
      </c>
      <c r="E613" s="1">
        <v>44708</v>
      </c>
      <c r="J613">
        <v>73</v>
      </c>
      <c r="K613">
        <v>91</v>
      </c>
    </row>
    <row r="614" spans="1:11" x14ac:dyDescent="0.3">
      <c r="A614" t="s">
        <v>675</v>
      </c>
      <c r="B614" t="s">
        <v>676</v>
      </c>
      <c r="C614">
        <v>96</v>
      </c>
      <c r="D614" t="s">
        <v>28</v>
      </c>
      <c r="E614" s="1">
        <v>45065</v>
      </c>
      <c r="J614">
        <v>67</v>
      </c>
      <c r="K614">
        <v>88</v>
      </c>
    </row>
    <row r="615" spans="1:11" x14ac:dyDescent="0.3">
      <c r="A615" t="s">
        <v>1364</v>
      </c>
      <c r="B615" t="s">
        <v>1365</v>
      </c>
      <c r="C615">
        <v>100</v>
      </c>
      <c r="D615" t="s">
        <v>28</v>
      </c>
      <c r="E615" s="1">
        <v>44817</v>
      </c>
      <c r="J615">
        <v>50</v>
      </c>
      <c r="K615">
        <v>63</v>
      </c>
    </row>
    <row r="616" spans="1:11" x14ac:dyDescent="0.3">
      <c r="A616" t="s">
        <v>1976</v>
      </c>
      <c r="B616" t="s">
        <v>1977</v>
      </c>
      <c r="C616">
        <v>165</v>
      </c>
      <c r="D616" t="s">
        <v>28</v>
      </c>
      <c r="E616" s="1">
        <v>45023</v>
      </c>
      <c r="J616">
        <v>30</v>
      </c>
      <c r="K616">
        <v>16</v>
      </c>
    </row>
    <row r="617" spans="1:11" x14ac:dyDescent="0.3">
      <c r="A617" t="s">
        <v>940</v>
      </c>
      <c r="B617" t="s">
        <v>941</v>
      </c>
      <c r="C617">
        <v>120</v>
      </c>
      <c r="D617" t="s">
        <v>15</v>
      </c>
      <c r="E617" s="1">
        <v>45597</v>
      </c>
      <c r="J617">
        <v>71</v>
      </c>
      <c r="K617">
        <v>81</v>
      </c>
    </row>
    <row r="618" spans="1:11" x14ac:dyDescent="0.3">
      <c r="A618" t="s">
        <v>647</v>
      </c>
      <c r="B618" t="s">
        <v>648</v>
      </c>
      <c r="C618">
        <v>84</v>
      </c>
      <c r="D618" t="s">
        <v>15</v>
      </c>
      <c r="E618" s="1">
        <v>44713</v>
      </c>
      <c r="J618">
        <v>74</v>
      </c>
      <c r="K618">
        <v>89</v>
      </c>
    </row>
    <row r="619" spans="1:11" x14ac:dyDescent="0.3">
      <c r="A619" t="s">
        <v>836</v>
      </c>
      <c r="B619" t="s">
        <v>837</v>
      </c>
      <c r="C619">
        <v>107</v>
      </c>
      <c r="D619" t="s">
        <v>28</v>
      </c>
      <c r="E619" s="1">
        <v>45265</v>
      </c>
      <c r="J619">
        <v>61</v>
      </c>
      <c r="K619">
        <v>84</v>
      </c>
    </row>
    <row r="620" spans="1:11" x14ac:dyDescent="0.3">
      <c r="A620" t="s">
        <v>661</v>
      </c>
      <c r="B620" t="s">
        <v>662</v>
      </c>
      <c r="C620">
        <v>127</v>
      </c>
      <c r="D620" t="s">
        <v>15</v>
      </c>
      <c r="E620" s="1">
        <v>45604</v>
      </c>
      <c r="J620">
        <v>69</v>
      </c>
      <c r="K620">
        <v>88</v>
      </c>
    </row>
    <row r="621" spans="1:11" x14ac:dyDescent="0.3">
      <c r="A621" t="s">
        <v>1082</v>
      </c>
      <c r="B621" t="s">
        <v>1083</v>
      </c>
      <c r="C621">
        <v>104</v>
      </c>
      <c r="D621" t="s">
        <v>28</v>
      </c>
      <c r="E621" s="1">
        <v>45331</v>
      </c>
      <c r="J621">
        <v>59</v>
      </c>
      <c r="K621">
        <v>76</v>
      </c>
    </row>
    <row r="622" spans="1:11" x14ac:dyDescent="0.3">
      <c r="A622" t="s">
        <v>1190</v>
      </c>
      <c r="B622" t="s">
        <v>1191</v>
      </c>
      <c r="C622">
        <v>106</v>
      </c>
      <c r="D622" t="s">
        <v>12</v>
      </c>
      <c r="E622" s="1">
        <v>44841</v>
      </c>
      <c r="J622">
        <v>51</v>
      </c>
      <c r="K622">
        <v>72</v>
      </c>
    </row>
    <row r="623" spans="1:11" x14ac:dyDescent="0.3">
      <c r="A623" t="s">
        <v>1470</v>
      </c>
      <c r="B623" t="s">
        <v>1471</v>
      </c>
      <c r="C623">
        <v>110</v>
      </c>
      <c r="D623" t="s">
        <v>15</v>
      </c>
      <c r="E623" s="1">
        <v>45359</v>
      </c>
      <c r="J623">
        <v>46</v>
      </c>
      <c r="K623">
        <v>56</v>
      </c>
    </row>
    <row r="624" spans="1:11" x14ac:dyDescent="0.3">
      <c r="A624" t="s">
        <v>1870</v>
      </c>
      <c r="B624" t="s">
        <v>1871</v>
      </c>
      <c r="C624">
        <v>126</v>
      </c>
      <c r="D624" t="s">
        <v>28</v>
      </c>
      <c r="E624" s="1">
        <v>45275</v>
      </c>
      <c r="J624">
        <v>44</v>
      </c>
      <c r="K624">
        <v>28</v>
      </c>
    </row>
    <row r="625" spans="1:11" x14ac:dyDescent="0.3">
      <c r="A625" t="s">
        <v>1386</v>
      </c>
      <c r="B625" t="s">
        <v>1387</v>
      </c>
      <c r="C625">
        <v>95</v>
      </c>
      <c r="D625" t="s">
        <v>28</v>
      </c>
      <c r="E625" s="1">
        <v>44617</v>
      </c>
      <c r="J625">
        <v>54</v>
      </c>
      <c r="K625">
        <v>62</v>
      </c>
    </row>
    <row r="626" spans="1:11" x14ac:dyDescent="0.3">
      <c r="A626" t="s">
        <v>1552</v>
      </c>
      <c r="B626" t="s">
        <v>1553</v>
      </c>
      <c r="C626">
        <v>101</v>
      </c>
      <c r="D626" t="s">
        <v>90</v>
      </c>
      <c r="E626" s="1">
        <v>44700</v>
      </c>
      <c r="J626">
        <v>55</v>
      </c>
      <c r="K626">
        <v>50</v>
      </c>
    </row>
    <row r="627" spans="1:11" x14ac:dyDescent="0.3">
      <c r="A627" t="s">
        <v>1430</v>
      </c>
      <c r="B627" t="s">
        <v>1431</v>
      </c>
      <c r="C627">
        <v>91</v>
      </c>
      <c r="D627" t="s">
        <v>63</v>
      </c>
      <c r="E627" s="1">
        <v>45699</v>
      </c>
      <c r="J627">
        <v>54</v>
      </c>
      <c r="K627">
        <v>58</v>
      </c>
    </row>
    <row r="628" spans="1:11" x14ac:dyDescent="0.3">
      <c r="A628" t="s">
        <v>1516</v>
      </c>
      <c r="B628" t="s">
        <v>1517</v>
      </c>
      <c r="C628">
        <v>103</v>
      </c>
      <c r="D628" t="s">
        <v>28</v>
      </c>
      <c r="E628" s="1">
        <v>45282</v>
      </c>
      <c r="J628">
        <v>52</v>
      </c>
      <c r="K628">
        <v>53</v>
      </c>
    </row>
    <row r="629" spans="1:11" x14ac:dyDescent="0.3">
      <c r="A629" t="s">
        <v>1627</v>
      </c>
      <c r="B629" t="s">
        <v>1628</v>
      </c>
      <c r="C629">
        <v>119</v>
      </c>
      <c r="D629" t="s">
        <v>28</v>
      </c>
      <c r="E629" s="1">
        <v>45072</v>
      </c>
      <c r="J629">
        <v>52</v>
      </c>
      <c r="K629">
        <v>45</v>
      </c>
    </row>
    <row r="630" spans="1:11" x14ac:dyDescent="0.3">
      <c r="A630" t="s">
        <v>118</v>
      </c>
      <c r="B630" t="s">
        <v>119</v>
      </c>
      <c r="C630">
        <v>118</v>
      </c>
      <c r="D630" t="s">
        <v>28</v>
      </c>
      <c r="E630" s="1">
        <v>45149</v>
      </c>
      <c r="J630">
        <v>52</v>
      </c>
      <c r="K630">
        <v>50</v>
      </c>
    </row>
    <row r="631" spans="1:11" x14ac:dyDescent="0.3">
      <c r="A631" t="s">
        <v>1454</v>
      </c>
      <c r="B631" t="s">
        <v>1455</v>
      </c>
      <c r="C631">
        <v>113</v>
      </c>
      <c r="D631" t="s">
        <v>28</v>
      </c>
      <c r="E631" s="1">
        <v>44785</v>
      </c>
      <c r="J631">
        <v>51</v>
      </c>
      <c r="K631">
        <v>57</v>
      </c>
    </row>
    <row r="632" spans="1:11" x14ac:dyDescent="0.3">
      <c r="A632" t="s">
        <v>707</v>
      </c>
      <c r="B632" t="s">
        <v>708</v>
      </c>
      <c r="C632">
        <v>138</v>
      </c>
      <c r="D632" t="s">
        <v>18</v>
      </c>
      <c r="E632" s="1">
        <v>44840</v>
      </c>
      <c r="J632">
        <v>59</v>
      </c>
      <c r="K632">
        <v>87</v>
      </c>
    </row>
    <row r="633" spans="1:11" x14ac:dyDescent="0.3">
      <c r="A633" t="s">
        <v>108</v>
      </c>
      <c r="B633" t="s">
        <v>109</v>
      </c>
      <c r="C633">
        <v>120</v>
      </c>
      <c r="D633" t="s">
        <v>28</v>
      </c>
      <c r="E633" s="1">
        <v>45750</v>
      </c>
      <c r="J633">
        <v>60</v>
      </c>
      <c r="K633">
        <v>58</v>
      </c>
    </row>
    <row r="634" spans="1:11" x14ac:dyDescent="0.3">
      <c r="A634" t="s">
        <v>1394</v>
      </c>
      <c r="B634" t="s">
        <v>1395</v>
      </c>
      <c r="C634">
        <v>112</v>
      </c>
      <c r="D634" t="s">
        <v>15</v>
      </c>
      <c r="E634" s="1">
        <v>44603</v>
      </c>
      <c r="J634">
        <v>51</v>
      </c>
      <c r="K634">
        <v>61</v>
      </c>
    </row>
    <row r="635" spans="1:11" x14ac:dyDescent="0.3">
      <c r="A635" t="s">
        <v>1286</v>
      </c>
      <c r="B635" t="s">
        <v>1287</v>
      </c>
      <c r="C635">
        <v>136</v>
      </c>
      <c r="D635" t="s">
        <v>28</v>
      </c>
      <c r="E635" s="1">
        <v>44659</v>
      </c>
      <c r="J635">
        <v>55</v>
      </c>
      <c r="K635">
        <v>68</v>
      </c>
    </row>
    <row r="636" spans="1:11" x14ac:dyDescent="0.3">
      <c r="A636" t="s">
        <v>1653</v>
      </c>
      <c r="B636" t="s">
        <v>1654</v>
      </c>
      <c r="C636">
        <v>110</v>
      </c>
      <c r="D636" t="s">
        <v>15</v>
      </c>
      <c r="E636" s="1">
        <v>45457</v>
      </c>
      <c r="J636">
        <v>48</v>
      </c>
      <c r="K636">
        <v>43</v>
      </c>
    </row>
    <row r="637" spans="1:11" x14ac:dyDescent="0.3">
      <c r="A637" t="s">
        <v>1254</v>
      </c>
      <c r="B637" t="s">
        <v>1255</v>
      </c>
      <c r="C637">
        <v>107</v>
      </c>
      <c r="D637" t="s">
        <v>28</v>
      </c>
      <c r="E637" s="1">
        <v>44827</v>
      </c>
      <c r="J637">
        <v>51</v>
      </c>
      <c r="K637">
        <v>69</v>
      </c>
    </row>
    <row r="638" spans="1:11" x14ac:dyDescent="0.3">
      <c r="A638" t="s">
        <v>1322</v>
      </c>
      <c r="B638" t="s">
        <v>1323</v>
      </c>
      <c r="C638">
        <v>105</v>
      </c>
      <c r="D638" t="s">
        <v>28</v>
      </c>
      <c r="E638" s="1">
        <v>45068</v>
      </c>
      <c r="J638">
        <v>52</v>
      </c>
      <c r="K638">
        <v>66</v>
      </c>
    </row>
    <row r="639" spans="1:11" x14ac:dyDescent="0.3">
      <c r="A639" t="s">
        <v>284</v>
      </c>
      <c r="B639" t="s">
        <v>285</v>
      </c>
      <c r="C639">
        <v>105</v>
      </c>
      <c r="D639" t="s">
        <v>28</v>
      </c>
      <c r="E639" s="1">
        <v>45374</v>
      </c>
      <c r="J639">
        <v>67</v>
      </c>
      <c r="K639">
        <v>96</v>
      </c>
    </row>
    <row r="640" spans="1:11" x14ac:dyDescent="0.3">
      <c r="A640" t="s">
        <v>942</v>
      </c>
      <c r="B640" t="s">
        <v>943</v>
      </c>
      <c r="C640">
        <v>90</v>
      </c>
      <c r="D640" t="s">
        <v>28</v>
      </c>
      <c r="E640" s="1">
        <v>45590</v>
      </c>
      <c r="J640">
        <v>69</v>
      </c>
      <c r="K640">
        <v>81</v>
      </c>
    </row>
    <row r="641" spans="1:11" x14ac:dyDescent="0.3">
      <c r="A641" t="s">
        <v>1676</v>
      </c>
      <c r="B641" t="s">
        <v>1677</v>
      </c>
      <c r="C641">
        <v>115</v>
      </c>
      <c r="D641" t="s">
        <v>15</v>
      </c>
      <c r="E641" s="1">
        <v>45373</v>
      </c>
      <c r="J641">
        <v>46</v>
      </c>
      <c r="K641">
        <v>42</v>
      </c>
    </row>
    <row r="642" spans="1:11" x14ac:dyDescent="0.3">
      <c r="A642" t="s">
        <v>1476</v>
      </c>
      <c r="B642" t="s">
        <v>1477</v>
      </c>
      <c r="C642">
        <v>104</v>
      </c>
      <c r="D642" t="s">
        <v>15</v>
      </c>
      <c r="E642" s="1">
        <v>44855</v>
      </c>
      <c r="J642">
        <v>50</v>
      </c>
      <c r="K642">
        <v>56</v>
      </c>
    </row>
    <row r="643" spans="1:11" x14ac:dyDescent="0.3">
      <c r="A643" t="s">
        <v>944</v>
      </c>
      <c r="B643" t="s">
        <v>945</v>
      </c>
      <c r="C643">
        <v>86</v>
      </c>
      <c r="D643" t="s">
        <v>28</v>
      </c>
      <c r="E643" s="1">
        <v>45449</v>
      </c>
      <c r="J643">
        <v>72</v>
      </c>
      <c r="K643">
        <v>81</v>
      </c>
    </row>
    <row r="644" spans="1:11" x14ac:dyDescent="0.3">
      <c r="A644" t="s">
        <v>637</v>
      </c>
      <c r="B644" t="s">
        <v>638</v>
      </c>
      <c r="C644">
        <v>84</v>
      </c>
      <c r="D644" t="s">
        <v>28</v>
      </c>
      <c r="E644" s="1">
        <v>45071</v>
      </c>
      <c r="J644">
        <v>51</v>
      </c>
      <c r="K644">
        <v>89</v>
      </c>
    </row>
    <row r="645" spans="1:11" x14ac:dyDescent="0.3">
      <c r="A645" t="s">
        <v>1524</v>
      </c>
      <c r="B645" t="s">
        <v>1525</v>
      </c>
      <c r="C645">
        <v>101</v>
      </c>
      <c r="D645" t="s">
        <v>15</v>
      </c>
      <c r="E645" s="1">
        <v>45331</v>
      </c>
      <c r="J645">
        <v>47</v>
      </c>
      <c r="K645">
        <v>52</v>
      </c>
    </row>
    <row r="646" spans="1:11" x14ac:dyDescent="0.3">
      <c r="A646" t="s">
        <v>1014</v>
      </c>
      <c r="B646" t="s">
        <v>1015</v>
      </c>
      <c r="C646">
        <v>97</v>
      </c>
      <c r="D646" t="s">
        <v>28</v>
      </c>
      <c r="E646" s="1">
        <v>45695</v>
      </c>
      <c r="J646">
        <v>61</v>
      </c>
      <c r="K646">
        <v>78</v>
      </c>
    </row>
    <row r="647" spans="1:11" x14ac:dyDescent="0.3">
      <c r="A647" t="s">
        <v>1074</v>
      </c>
      <c r="B647" t="s">
        <v>1075</v>
      </c>
      <c r="C647">
        <v>96</v>
      </c>
      <c r="D647" t="s">
        <v>28</v>
      </c>
      <c r="E647" s="1">
        <v>45565</v>
      </c>
      <c r="J647">
        <v>69</v>
      </c>
      <c r="K647">
        <v>76</v>
      </c>
    </row>
    <row r="648" spans="1:11" x14ac:dyDescent="0.3">
      <c r="A648" t="s">
        <v>1304</v>
      </c>
      <c r="B648" t="s">
        <v>1305</v>
      </c>
      <c r="C648">
        <v>100</v>
      </c>
      <c r="D648" t="s">
        <v>28</v>
      </c>
      <c r="E648" s="1">
        <v>44960</v>
      </c>
      <c r="J648">
        <v>63</v>
      </c>
      <c r="K648">
        <v>67</v>
      </c>
    </row>
    <row r="649" spans="1:11" x14ac:dyDescent="0.3">
      <c r="A649" t="s">
        <v>88</v>
      </c>
      <c r="B649" t="s">
        <v>89</v>
      </c>
      <c r="C649">
        <v>88</v>
      </c>
      <c r="D649" t="s">
        <v>90</v>
      </c>
      <c r="E649" s="1">
        <v>45658</v>
      </c>
      <c r="J649">
        <v>56</v>
      </c>
      <c r="K649">
        <v>75</v>
      </c>
    </row>
    <row r="650" spans="1:11" x14ac:dyDescent="0.3">
      <c r="A650" t="s">
        <v>1607</v>
      </c>
      <c r="B650" t="s">
        <v>1608</v>
      </c>
      <c r="C650">
        <v>125</v>
      </c>
      <c r="D650" t="s">
        <v>28</v>
      </c>
      <c r="E650" s="1">
        <v>45380</v>
      </c>
      <c r="J650">
        <v>47</v>
      </c>
      <c r="K650">
        <v>46</v>
      </c>
    </row>
    <row r="651" spans="1:11" x14ac:dyDescent="0.3">
      <c r="A651" t="s">
        <v>1774</v>
      </c>
      <c r="B651" t="s">
        <v>1775</v>
      </c>
      <c r="C651">
        <v>103</v>
      </c>
      <c r="D651" t="s">
        <v>90</v>
      </c>
      <c r="E651" s="1">
        <v>45134</v>
      </c>
      <c r="J651">
        <v>48</v>
      </c>
      <c r="K651">
        <v>35</v>
      </c>
    </row>
    <row r="652" spans="1:11" x14ac:dyDescent="0.3">
      <c r="A652" t="s">
        <v>655</v>
      </c>
      <c r="B652" t="s">
        <v>656</v>
      </c>
      <c r="C652">
        <v>84</v>
      </c>
      <c r="D652" t="s">
        <v>28</v>
      </c>
      <c r="E652" s="1">
        <v>45681</v>
      </c>
      <c r="J652">
        <v>77</v>
      </c>
      <c r="K652">
        <v>88</v>
      </c>
    </row>
    <row r="653" spans="1:11" x14ac:dyDescent="0.3">
      <c r="A653" t="s">
        <v>1896</v>
      </c>
      <c r="B653" t="s">
        <v>1897</v>
      </c>
      <c r="C653">
        <v>204</v>
      </c>
      <c r="D653" t="s">
        <v>18</v>
      </c>
      <c r="E653" s="1">
        <v>45261</v>
      </c>
      <c r="J653">
        <v>33</v>
      </c>
      <c r="K653">
        <v>26</v>
      </c>
    </row>
    <row r="654" spans="1:11" x14ac:dyDescent="0.3">
      <c r="A654" t="s">
        <v>1835</v>
      </c>
      <c r="B654" t="s">
        <v>1836</v>
      </c>
      <c r="C654">
        <v>134</v>
      </c>
      <c r="D654" t="s">
        <v>28</v>
      </c>
      <c r="E654" s="1">
        <v>44841</v>
      </c>
      <c r="J654">
        <v>49</v>
      </c>
      <c r="K654">
        <v>31</v>
      </c>
    </row>
    <row r="655" spans="1:11" x14ac:dyDescent="0.3">
      <c r="A655" t="s">
        <v>1368</v>
      </c>
      <c r="B655" t="s">
        <v>1369</v>
      </c>
      <c r="C655">
        <v>101</v>
      </c>
      <c r="D655" t="s">
        <v>28</v>
      </c>
      <c r="E655" s="1">
        <v>44659</v>
      </c>
      <c r="J655">
        <v>62</v>
      </c>
      <c r="K655">
        <v>63</v>
      </c>
    </row>
    <row r="656" spans="1:11" x14ac:dyDescent="0.3">
      <c r="A656" t="s">
        <v>1222</v>
      </c>
      <c r="B656" t="s">
        <v>1223</v>
      </c>
      <c r="C656">
        <v>111</v>
      </c>
      <c r="D656" t="s">
        <v>28</v>
      </c>
      <c r="E656" s="1">
        <v>45072</v>
      </c>
      <c r="J656">
        <v>63</v>
      </c>
      <c r="K656">
        <v>71</v>
      </c>
    </row>
    <row r="657" spans="1:11" x14ac:dyDescent="0.3">
      <c r="A657" t="s">
        <v>1282</v>
      </c>
      <c r="B657" t="s">
        <v>1283</v>
      </c>
      <c r="C657">
        <v>117</v>
      </c>
      <c r="D657" t="s">
        <v>28</v>
      </c>
      <c r="E657" s="1">
        <v>44806</v>
      </c>
      <c r="J657">
        <v>59</v>
      </c>
      <c r="K657">
        <v>68</v>
      </c>
    </row>
    <row r="658" spans="1:11" x14ac:dyDescent="0.3">
      <c r="A658" t="s">
        <v>1044</v>
      </c>
      <c r="B658" t="s">
        <v>1045</v>
      </c>
      <c r="C658">
        <v>103</v>
      </c>
      <c r="D658" t="s">
        <v>28</v>
      </c>
      <c r="E658" s="1">
        <v>45191</v>
      </c>
      <c r="J658">
        <v>62</v>
      </c>
      <c r="K658">
        <v>77</v>
      </c>
    </row>
    <row r="659" spans="1:11" x14ac:dyDescent="0.3">
      <c r="A659" t="s">
        <v>68</v>
      </c>
      <c r="B659" t="s">
        <v>69</v>
      </c>
      <c r="C659">
        <v>116</v>
      </c>
      <c r="D659" t="s">
        <v>25</v>
      </c>
      <c r="E659" s="1">
        <v>44804</v>
      </c>
      <c r="J659">
        <v>73</v>
      </c>
      <c r="K659">
        <v>84</v>
      </c>
    </row>
    <row r="660" spans="1:11" x14ac:dyDescent="0.3">
      <c r="A660" t="s">
        <v>1048</v>
      </c>
      <c r="B660" t="s">
        <v>1049</v>
      </c>
      <c r="C660">
        <v>104</v>
      </c>
      <c r="D660" t="s">
        <v>28</v>
      </c>
      <c r="E660" s="1">
        <v>45078</v>
      </c>
      <c r="J660">
        <v>66</v>
      </c>
      <c r="K660">
        <v>77</v>
      </c>
    </row>
    <row r="661" spans="1:11" x14ac:dyDescent="0.3">
      <c r="A661" t="s">
        <v>1342</v>
      </c>
      <c r="B661" t="s">
        <v>1343</v>
      </c>
      <c r="C661">
        <v>91</v>
      </c>
      <c r="D661" t="s">
        <v>12</v>
      </c>
      <c r="E661" s="1">
        <v>45247</v>
      </c>
      <c r="J661">
        <v>53</v>
      </c>
      <c r="K661">
        <v>64</v>
      </c>
    </row>
    <row r="662" spans="1:11" x14ac:dyDescent="0.3">
      <c r="A662" t="s">
        <v>1332</v>
      </c>
      <c r="B662" t="s">
        <v>1333</v>
      </c>
      <c r="C662">
        <v>103</v>
      </c>
      <c r="D662" t="s">
        <v>12</v>
      </c>
      <c r="E662" s="1">
        <v>44834</v>
      </c>
      <c r="J662">
        <v>56</v>
      </c>
      <c r="K662">
        <v>65</v>
      </c>
    </row>
    <row r="663" spans="1:11" x14ac:dyDescent="0.3">
      <c r="A663" t="s">
        <v>1984</v>
      </c>
      <c r="B663" t="s">
        <v>1985</v>
      </c>
      <c r="C663">
        <v>125</v>
      </c>
      <c r="D663" t="s">
        <v>15</v>
      </c>
      <c r="E663" s="1">
        <v>45730</v>
      </c>
      <c r="J663">
        <v>29</v>
      </c>
      <c r="K663">
        <v>14</v>
      </c>
    </row>
    <row r="664" spans="1:11" x14ac:dyDescent="0.3">
      <c r="A664" t="s">
        <v>1742</v>
      </c>
      <c r="B664" t="s">
        <v>1743</v>
      </c>
      <c r="C664">
        <v>123</v>
      </c>
      <c r="D664" t="s">
        <v>15</v>
      </c>
      <c r="E664" s="1">
        <v>45135</v>
      </c>
      <c r="J664">
        <v>47</v>
      </c>
      <c r="K664">
        <v>38</v>
      </c>
    </row>
    <row r="665" spans="1:11" x14ac:dyDescent="0.3">
      <c r="A665" t="s">
        <v>1589</v>
      </c>
      <c r="B665" t="s">
        <v>1590</v>
      </c>
      <c r="C665">
        <v>104</v>
      </c>
      <c r="D665" t="s">
        <v>15</v>
      </c>
      <c r="E665" s="1">
        <v>44839</v>
      </c>
      <c r="J665">
        <v>55</v>
      </c>
      <c r="K665">
        <v>47</v>
      </c>
    </row>
    <row r="666" spans="1:11" x14ac:dyDescent="0.3">
      <c r="A666" t="s">
        <v>1102</v>
      </c>
      <c r="B666" t="s">
        <v>1103</v>
      </c>
      <c r="C666">
        <v>99</v>
      </c>
      <c r="D666" t="s">
        <v>90</v>
      </c>
      <c r="E666" s="1">
        <v>45701</v>
      </c>
      <c r="J666">
        <v>44</v>
      </c>
      <c r="K666">
        <v>75</v>
      </c>
    </row>
    <row r="667" spans="1:11" x14ac:dyDescent="0.3">
      <c r="A667" t="s">
        <v>572</v>
      </c>
      <c r="B667" t="s">
        <v>573</v>
      </c>
      <c r="C667">
        <v>114</v>
      </c>
      <c r="D667" t="s">
        <v>18</v>
      </c>
      <c r="E667" s="1">
        <v>44834</v>
      </c>
      <c r="J667">
        <v>70</v>
      </c>
      <c r="K667">
        <v>91</v>
      </c>
    </row>
    <row r="668" spans="1:11" x14ac:dyDescent="0.3">
      <c r="A668" t="s">
        <v>1510</v>
      </c>
      <c r="B668" t="s">
        <v>1511</v>
      </c>
      <c r="C668">
        <v>100</v>
      </c>
      <c r="D668" t="s">
        <v>15</v>
      </c>
      <c r="E668" s="1">
        <v>45163</v>
      </c>
      <c r="J668">
        <v>48</v>
      </c>
      <c r="K668">
        <v>54</v>
      </c>
    </row>
    <row r="669" spans="1:11" x14ac:dyDescent="0.3">
      <c r="A669" t="s">
        <v>890</v>
      </c>
      <c r="B669" t="s">
        <v>891</v>
      </c>
      <c r="C669">
        <v>89</v>
      </c>
      <c r="D669" t="s">
        <v>28</v>
      </c>
      <c r="E669" s="1">
        <v>45604</v>
      </c>
      <c r="J669">
        <v>66</v>
      </c>
      <c r="K669">
        <v>82</v>
      </c>
    </row>
    <row r="670" spans="1:11" x14ac:dyDescent="0.3">
      <c r="A670" t="s">
        <v>755</v>
      </c>
      <c r="B670" t="s">
        <v>756</v>
      </c>
      <c r="C670">
        <v>83</v>
      </c>
      <c r="D670" t="s">
        <v>28</v>
      </c>
      <c r="E670" s="1">
        <v>44939</v>
      </c>
      <c r="J670">
        <v>62</v>
      </c>
      <c r="K670">
        <v>86</v>
      </c>
    </row>
    <row r="671" spans="1:11" x14ac:dyDescent="0.3">
      <c r="A671" t="s">
        <v>1678</v>
      </c>
      <c r="B671" t="s">
        <v>1679</v>
      </c>
      <c r="C671">
        <v>92</v>
      </c>
      <c r="D671" t="s">
        <v>28</v>
      </c>
      <c r="E671" s="1">
        <v>45247</v>
      </c>
      <c r="J671">
        <v>49</v>
      </c>
      <c r="K671">
        <v>42</v>
      </c>
    </row>
    <row r="672" spans="1:11" x14ac:dyDescent="0.3">
      <c r="A672" t="s">
        <v>1571</v>
      </c>
      <c r="B672" t="s">
        <v>1572</v>
      </c>
      <c r="C672">
        <v>102</v>
      </c>
      <c r="D672" t="s">
        <v>28</v>
      </c>
      <c r="E672" s="1">
        <v>45211</v>
      </c>
      <c r="J672">
        <v>53</v>
      </c>
      <c r="K672">
        <v>48</v>
      </c>
    </row>
    <row r="673" spans="1:11" x14ac:dyDescent="0.3">
      <c r="A673" t="s">
        <v>703</v>
      </c>
      <c r="B673" t="s">
        <v>704</v>
      </c>
      <c r="C673">
        <v>117</v>
      </c>
      <c r="D673" t="s">
        <v>28</v>
      </c>
      <c r="E673" s="1">
        <v>44953</v>
      </c>
      <c r="J673">
        <v>72</v>
      </c>
      <c r="K673">
        <v>87</v>
      </c>
    </row>
    <row r="674" spans="1:11" x14ac:dyDescent="0.3">
      <c r="A674" t="s">
        <v>1262</v>
      </c>
      <c r="B674" t="s">
        <v>1263</v>
      </c>
      <c r="C674">
        <v>100</v>
      </c>
      <c r="D674" t="s">
        <v>28</v>
      </c>
      <c r="E674" s="1">
        <v>44701</v>
      </c>
      <c r="J674">
        <v>65</v>
      </c>
      <c r="K674">
        <v>69</v>
      </c>
    </row>
    <row r="675" spans="1:11" x14ac:dyDescent="0.3">
      <c r="A675" t="s">
        <v>97</v>
      </c>
      <c r="B675" t="s">
        <v>98</v>
      </c>
      <c r="C675">
        <v>100</v>
      </c>
      <c r="D675" t="s">
        <v>28</v>
      </c>
      <c r="E675" s="1">
        <v>44834</v>
      </c>
      <c r="J675">
        <v>69</v>
      </c>
      <c r="K675">
        <v>68</v>
      </c>
    </row>
    <row r="676" spans="1:11" x14ac:dyDescent="0.3">
      <c r="A676" t="s">
        <v>824</v>
      </c>
      <c r="B676" t="s">
        <v>825</v>
      </c>
      <c r="C676">
        <v>120</v>
      </c>
      <c r="D676" t="s">
        <v>28</v>
      </c>
      <c r="E676" s="1">
        <v>44610</v>
      </c>
      <c r="J676">
        <v>70</v>
      </c>
      <c r="K676">
        <v>85</v>
      </c>
    </row>
    <row r="677" spans="1:11" x14ac:dyDescent="0.3">
      <c r="A677" t="s">
        <v>693</v>
      </c>
      <c r="B677" t="s">
        <v>694</v>
      </c>
      <c r="C677">
        <v>102</v>
      </c>
      <c r="D677" t="s">
        <v>28</v>
      </c>
      <c r="E677" s="1">
        <v>45898</v>
      </c>
      <c r="J677">
        <v>66</v>
      </c>
      <c r="K677">
        <v>87</v>
      </c>
    </row>
    <row r="678" spans="1:11" x14ac:dyDescent="0.3">
      <c r="A678" t="s">
        <v>1152</v>
      </c>
      <c r="B678" t="s">
        <v>1153</v>
      </c>
      <c r="C678">
        <v>85</v>
      </c>
      <c r="D678" t="s">
        <v>28</v>
      </c>
      <c r="E678" s="1">
        <v>45303</v>
      </c>
      <c r="J678">
        <v>59</v>
      </c>
      <c r="K678">
        <v>73</v>
      </c>
    </row>
    <row r="679" spans="1:11" x14ac:dyDescent="0.3">
      <c r="A679" t="s">
        <v>701</v>
      </c>
      <c r="B679" t="s">
        <v>702</v>
      </c>
      <c r="C679">
        <v>97</v>
      </c>
      <c r="D679" t="s">
        <v>28</v>
      </c>
      <c r="E679" s="1">
        <v>45093</v>
      </c>
      <c r="J679">
        <v>67</v>
      </c>
      <c r="K679">
        <v>87</v>
      </c>
    </row>
    <row r="680" spans="1:11" x14ac:dyDescent="0.3">
      <c r="A680" t="s">
        <v>1559</v>
      </c>
      <c r="B680" t="s">
        <v>1560</v>
      </c>
      <c r="C680">
        <v>98</v>
      </c>
      <c r="D680" t="s">
        <v>28</v>
      </c>
      <c r="E680" s="1">
        <v>45359</v>
      </c>
      <c r="J680">
        <v>53</v>
      </c>
      <c r="K680">
        <v>49</v>
      </c>
    </row>
    <row r="681" spans="1:11" x14ac:dyDescent="0.3">
      <c r="A681" t="s">
        <v>879</v>
      </c>
      <c r="B681" t="s">
        <v>880</v>
      </c>
      <c r="C681">
        <v>117</v>
      </c>
      <c r="D681" t="s">
        <v>12</v>
      </c>
      <c r="E681" s="1">
        <v>44743</v>
      </c>
      <c r="J681">
        <v>65</v>
      </c>
      <c r="K681">
        <v>83</v>
      </c>
    </row>
    <row r="682" spans="1:11" x14ac:dyDescent="0.3">
      <c r="A682" t="s">
        <v>1530</v>
      </c>
      <c r="B682" t="s">
        <v>1531</v>
      </c>
      <c r="C682">
        <v>101</v>
      </c>
      <c r="D682" t="s">
        <v>28</v>
      </c>
      <c r="E682" s="1">
        <v>45548</v>
      </c>
      <c r="J682">
        <v>54</v>
      </c>
      <c r="K682">
        <v>51</v>
      </c>
    </row>
    <row r="683" spans="1:11" x14ac:dyDescent="0.3">
      <c r="A683" t="s">
        <v>1160</v>
      </c>
      <c r="B683" t="s">
        <v>1161</v>
      </c>
      <c r="C683">
        <v>85</v>
      </c>
      <c r="D683" t="s">
        <v>28</v>
      </c>
      <c r="E683" s="1">
        <v>45210</v>
      </c>
      <c r="J683">
        <v>60</v>
      </c>
      <c r="K683">
        <v>73</v>
      </c>
    </row>
    <row r="684" spans="1:11" x14ac:dyDescent="0.3">
      <c r="A684" t="s">
        <v>1587</v>
      </c>
      <c r="B684" t="s">
        <v>1588</v>
      </c>
      <c r="C684">
        <v>118</v>
      </c>
      <c r="D684" t="s">
        <v>28</v>
      </c>
      <c r="E684" s="1">
        <v>45205</v>
      </c>
      <c r="J684">
        <v>48</v>
      </c>
      <c r="K684">
        <v>47</v>
      </c>
    </row>
    <row r="685" spans="1:11" x14ac:dyDescent="0.3">
      <c r="A685" t="s">
        <v>1238</v>
      </c>
      <c r="B685" t="s">
        <v>1239</v>
      </c>
      <c r="C685">
        <v>87</v>
      </c>
      <c r="D685" t="s">
        <v>28</v>
      </c>
      <c r="E685" s="1">
        <v>45566</v>
      </c>
      <c r="J685">
        <v>52</v>
      </c>
      <c r="K685">
        <v>70</v>
      </c>
    </row>
    <row r="686" spans="1:11" x14ac:dyDescent="0.3">
      <c r="A686" t="s">
        <v>1062</v>
      </c>
      <c r="B686" t="s">
        <v>1063</v>
      </c>
      <c r="C686">
        <v>114</v>
      </c>
      <c r="D686" t="s">
        <v>28</v>
      </c>
      <c r="E686" s="1">
        <v>45651</v>
      </c>
      <c r="J686">
        <v>79</v>
      </c>
      <c r="K686">
        <v>76</v>
      </c>
    </row>
    <row r="687" spans="1:11" x14ac:dyDescent="0.3">
      <c r="A687" t="s">
        <v>1744</v>
      </c>
      <c r="B687" t="s">
        <v>1745</v>
      </c>
      <c r="C687">
        <v>147</v>
      </c>
      <c r="D687" t="s">
        <v>15</v>
      </c>
      <c r="E687" s="1">
        <v>44853</v>
      </c>
      <c r="J687">
        <v>30</v>
      </c>
      <c r="K687">
        <v>38</v>
      </c>
    </row>
    <row r="688" spans="1:11" x14ac:dyDescent="0.3">
      <c r="A688" t="s">
        <v>1184</v>
      </c>
      <c r="B688" t="s">
        <v>1185</v>
      </c>
      <c r="C688">
        <v>88</v>
      </c>
      <c r="D688" t="s">
        <v>12</v>
      </c>
      <c r="E688" s="1">
        <v>45198</v>
      </c>
      <c r="J688">
        <v>49</v>
      </c>
      <c r="K688">
        <v>72</v>
      </c>
    </row>
    <row r="689" spans="1:11" x14ac:dyDescent="0.3">
      <c r="A689" t="s">
        <v>1732</v>
      </c>
      <c r="B689" t="s">
        <v>1733</v>
      </c>
      <c r="C689">
        <v>125</v>
      </c>
      <c r="D689" t="s">
        <v>28</v>
      </c>
      <c r="E689" s="1">
        <v>44813</v>
      </c>
      <c r="J689">
        <v>46</v>
      </c>
      <c r="K689">
        <v>39</v>
      </c>
    </row>
    <row r="690" spans="1:11" x14ac:dyDescent="0.3">
      <c r="A690" t="s">
        <v>1845</v>
      </c>
      <c r="B690" t="s">
        <v>1846</v>
      </c>
      <c r="C690">
        <v>104</v>
      </c>
      <c r="D690" t="s">
        <v>15</v>
      </c>
      <c r="E690" s="1">
        <v>45051</v>
      </c>
      <c r="J690">
        <v>32</v>
      </c>
      <c r="K690">
        <v>30</v>
      </c>
    </row>
    <row r="691" spans="1:11" x14ac:dyDescent="0.3">
      <c r="A691" t="s">
        <v>1024</v>
      </c>
      <c r="B691" t="s">
        <v>1025</v>
      </c>
      <c r="C691">
        <v>127</v>
      </c>
      <c r="D691" t="s">
        <v>15</v>
      </c>
      <c r="E691" s="1">
        <v>45156</v>
      </c>
      <c r="J691">
        <v>61</v>
      </c>
      <c r="K691">
        <v>78</v>
      </c>
    </row>
    <row r="692" spans="1:11" x14ac:dyDescent="0.3">
      <c r="A692" t="s">
        <v>1256</v>
      </c>
      <c r="B692" t="s">
        <v>1257</v>
      </c>
      <c r="C692">
        <v>99</v>
      </c>
      <c r="D692" t="s">
        <v>28</v>
      </c>
      <c r="E692" s="1">
        <v>44792</v>
      </c>
      <c r="J692">
        <v>54</v>
      </c>
      <c r="K692">
        <v>69</v>
      </c>
    </row>
    <row r="693" spans="1:11" x14ac:dyDescent="0.3">
      <c r="A693" t="s">
        <v>1839</v>
      </c>
      <c r="B693" t="s">
        <v>1840</v>
      </c>
      <c r="C693">
        <v>114</v>
      </c>
      <c r="D693" t="s">
        <v>15</v>
      </c>
      <c r="E693" s="1">
        <v>45674</v>
      </c>
      <c r="J693">
        <v>46</v>
      </c>
      <c r="K693">
        <v>30</v>
      </c>
    </row>
    <row r="694" spans="1:11" x14ac:dyDescent="0.3">
      <c r="A694" t="s">
        <v>1120</v>
      </c>
      <c r="B694" t="s">
        <v>1121</v>
      </c>
      <c r="C694">
        <v>88</v>
      </c>
      <c r="D694" t="s">
        <v>28</v>
      </c>
      <c r="E694" s="1">
        <v>45219</v>
      </c>
      <c r="J694">
        <v>50</v>
      </c>
      <c r="K694">
        <v>75</v>
      </c>
    </row>
    <row r="695" spans="1:11" x14ac:dyDescent="0.3">
      <c r="A695" t="s">
        <v>558</v>
      </c>
      <c r="B695" t="s">
        <v>559</v>
      </c>
      <c r="C695">
        <v>103</v>
      </c>
      <c r="D695" t="s">
        <v>15</v>
      </c>
      <c r="E695" s="1">
        <v>45163</v>
      </c>
      <c r="J695">
        <v>71</v>
      </c>
      <c r="K695">
        <v>91</v>
      </c>
    </row>
    <row r="696" spans="1:11" x14ac:dyDescent="0.3">
      <c r="A696" t="s">
        <v>990</v>
      </c>
      <c r="B696" t="s">
        <v>991</v>
      </c>
      <c r="C696">
        <v>117</v>
      </c>
      <c r="D696" t="s">
        <v>15</v>
      </c>
      <c r="E696" s="1">
        <v>44728</v>
      </c>
      <c r="J696">
        <v>65</v>
      </c>
      <c r="K696">
        <v>80</v>
      </c>
    </row>
    <row r="697" spans="1:11" x14ac:dyDescent="0.3">
      <c r="A697" t="s">
        <v>1406</v>
      </c>
      <c r="B697" t="s">
        <v>1407</v>
      </c>
      <c r="C697">
        <v>98</v>
      </c>
      <c r="D697" t="s">
        <v>15</v>
      </c>
      <c r="E697" s="1">
        <v>45079</v>
      </c>
      <c r="J697">
        <v>55</v>
      </c>
      <c r="K697">
        <v>60</v>
      </c>
    </row>
    <row r="698" spans="1:11" x14ac:dyDescent="0.3">
      <c r="A698" t="s">
        <v>1708</v>
      </c>
      <c r="B698" t="s">
        <v>1709</v>
      </c>
      <c r="C698">
        <v>109</v>
      </c>
      <c r="D698" t="s">
        <v>28</v>
      </c>
      <c r="E698" s="1">
        <v>45233</v>
      </c>
      <c r="J698">
        <v>47</v>
      </c>
      <c r="K698">
        <v>40</v>
      </c>
    </row>
    <row r="699" spans="1:11" x14ac:dyDescent="0.3">
      <c r="A699" t="s">
        <v>1318</v>
      </c>
      <c r="B699" t="s">
        <v>1319</v>
      </c>
      <c r="C699">
        <v>120</v>
      </c>
      <c r="D699" t="s">
        <v>28</v>
      </c>
      <c r="E699" s="1">
        <v>45330</v>
      </c>
      <c r="J699">
        <v>58</v>
      </c>
      <c r="K699">
        <v>66</v>
      </c>
    </row>
    <row r="700" spans="1:11" x14ac:dyDescent="0.3">
      <c r="A700" t="s">
        <v>1649</v>
      </c>
      <c r="B700" t="s">
        <v>1650</v>
      </c>
      <c r="C700">
        <v>98</v>
      </c>
      <c r="D700" t="s">
        <v>63</v>
      </c>
      <c r="E700" s="1">
        <v>45667</v>
      </c>
      <c r="J700">
        <v>40</v>
      </c>
      <c r="K700">
        <v>43</v>
      </c>
    </row>
    <row r="701" spans="1:11" x14ac:dyDescent="0.3">
      <c r="A701" t="s">
        <v>1696</v>
      </c>
      <c r="B701" t="s">
        <v>1697</v>
      </c>
      <c r="C701">
        <v>123</v>
      </c>
      <c r="D701" t="s">
        <v>28</v>
      </c>
      <c r="E701" s="1">
        <v>45737</v>
      </c>
      <c r="J701">
        <v>46</v>
      </c>
      <c r="K701">
        <v>40</v>
      </c>
    </row>
    <row r="702" spans="1:11" x14ac:dyDescent="0.3">
      <c r="A702" t="s">
        <v>1546</v>
      </c>
      <c r="B702" t="s">
        <v>1547</v>
      </c>
      <c r="C702">
        <v>104</v>
      </c>
      <c r="D702" t="s">
        <v>15</v>
      </c>
      <c r="E702" s="1">
        <v>45359</v>
      </c>
      <c r="J702">
        <v>51</v>
      </c>
      <c r="K702">
        <v>50</v>
      </c>
    </row>
    <row r="703" spans="1:11" x14ac:dyDescent="0.3">
      <c r="A703" t="s">
        <v>1426</v>
      </c>
      <c r="B703" t="s">
        <v>1427</v>
      </c>
      <c r="C703">
        <v>98</v>
      </c>
      <c r="D703" t="s">
        <v>15</v>
      </c>
      <c r="E703" s="1">
        <v>44960</v>
      </c>
      <c r="J703">
        <v>52</v>
      </c>
      <c r="K703">
        <v>59</v>
      </c>
    </row>
    <row r="704" spans="1:11" x14ac:dyDescent="0.3">
      <c r="A704" t="s">
        <v>93</v>
      </c>
      <c r="B704" t="s">
        <v>94</v>
      </c>
      <c r="C704">
        <v>121</v>
      </c>
      <c r="D704" t="s">
        <v>28</v>
      </c>
      <c r="E704" s="1">
        <v>44841</v>
      </c>
      <c r="J704">
        <v>55</v>
      </c>
      <c r="K704">
        <v>71</v>
      </c>
    </row>
    <row r="705" spans="1:11" x14ac:dyDescent="0.3">
      <c r="A705" t="s">
        <v>1623</v>
      </c>
      <c r="B705" t="s">
        <v>1624</v>
      </c>
      <c r="C705">
        <v>107</v>
      </c>
      <c r="D705" t="s">
        <v>28</v>
      </c>
      <c r="E705" s="1">
        <v>45562</v>
      </c>
      <c r="J705">
        <v>49</v>
      </c>
      <c r="K705">
        <v>45</v>
      </c>
    </row>
    <row r="706" spans="1:11" x14ac:dyDescent="0.3">
      <c r="A706" t="s">
        <v>1599</v>
      </c>
      <c r="B706" t="s">
        <v>1600</v>
      </c>
      <c r="C706">
        <v>118</v>
      </c>
      <c r="D706" t="s">
        <v>15</v>
      </c>
      <c r="E706" s="1">
        <v>45702</v>
      </c>
      <c r="J706">
        <v>42</v>
      </c>
      <c r="K706">
        <v>46</v>
      </c>
    </row>
    <row r="707" spans="1:11" x14ac:dyDescent="0.3">
      <c r="A707" t="s">
        <v>1330</v>
      </c>
      <c r="B707" t="s">
        <v>1331</v>
      </c>
      <c r="C707">
        <v>95</v>
      </c>
      <c r="D707" t="s">
        <v>28</v>
      </c>
      <c r="E707" s="1">
        <v>44981</v>
      </c>
      <c r="J707">
        <v>54</v>
      </c>
      <c r="K707">
        <v>65</v>
      </c>
    </row>
    <row r="708" spans="1:11" x14ac:dyDescent="0.3">
      <c r="A708" t="s">
        <v>930</v>
      </c>
      <c r="B708" t="s">
        <v>931</v>
      </c>
      <c r="C708">
        <v>103</v>
      </c>
      <c r="D708" t="s">
        <v>28</v>
      </c>
      <c r="E708" s="1">
        <v>44778</v>
      </c>
      <c r="J708">
        <v>70</v>
      </c>
      <c r="K708">
        <v>82</v>
      </c>
    </row>
    <row r="709" spans="1:11" x14ac:dyDescent="0.3">
      <c r="A709" t="s">
        <v>1670</v>
      </c>
      <c r="B709" t="s">
        <v>1671</v>
      </c>
      <c r="C709">
        <v>111</v>
      </c>
      <c r="D709" t="s">
        <v>15</v>
      </c>
      <c r="E709" s="1">
        <v>44804</v>
      </c>
      <c r="J709">
        <v>45</v>
      </c>
      <c r="K709">
        <v>43</v>
      </c>
    </row>
    <row r="710" spans="1:11" x14ac:dyDescent="0.3">
      <c r="A710" t="s">
        <v>364</v>
      </c>
      <c r="B710" t="s">
        <v>365</v>
      </c>
      <c r="C710">
        <v>96</v>
      </c>
      <c r="D710" t="s">
        <v>15</v>
      </c>
      <c r="E710" s="1">
        <v>44897</v>
      </c>
      <c r="J710">
        <v>80</v>
      </c>
      <c r="K710">
        <v>95</v>
      </c>
    </row>
    <row r="711" spans="1:11" x14ac:dyDescent="0.3">
      <c r="A711" t="s">
        <v>1180</v>
      </c>
      <c r="B711" t="s">
        <v>1181</v>
      </c>
      <c r="C711">
        <v>105</v>
      </c>
      <c r="D711" t="s">
        <v>28</v>
      </c>
      <c r="E711" s="1">
        <v>45246</v>
      </c>
      <c r="J711">
        <v>53</v>
      </c>
      <c r="K711">
        <v>72</v>
      </c>
    </row>
    <row r="712" spans="1:11" x14ac:dyDescent="0.3">
      <c r="A712" t="s">
        <v>602</v>
      </c>
      <c r="B712" t="s">
        <v>603</v>
      </c>
      <c r="C712">
        <v>89</v>
      </c>
      <c r="D712" t="s">
        <v>28</v>
      </c>
      <c r="E712" s="1">
        <v>45244</v>
      </c>
      <c r="J712">
        <v>64</v>
      </c>
      <c r="K712">
        <v>90</v>
      </c>
    </row>
    <row r="713" spans="1:11" x14ac:dyDescent="0.3">
      <c r="A713" t="s">
        <v>1100</v>
      </c>
      <c r="B713" t="s">
        <v>1101</v>
      </c>
      <c r="C713">
        <v>119</v>
      </c>
      <c r="D713" t="s">
        <v>28</v>
      </c>
      <c r="E713" s="1">
        <v>45772</v>
      </c>
      <c r="J713">
        <v>59</v>
      </c>
      <c r="K713">
        <v>75</v>
      </c>
    </row>
    <row r="714" spans="1:11" x14ac:dyDescent="0.3">
      <c r="A714" t="s">
        <v>952</v>
      </c>
      <c r="B714" t="s">
        <v>953</v>
      </c>
      <c r="C714">
        <v>97</v>
      </c>
      <c r="D714" t="s">
        <v>28</v>
      </c>
      <c r="E714" s="1">
        <v>45268</v>
      </c>
      <c r="J714">
        <v>72</v>
      </c>
      <c r="K714">
        <v>81</v>
      </c>
    </row>
    <row r="715" spans="1:11" x14ac:dyDescent="0.3">
      <c r="A715" t="s">
        <v>628</v>
      </c>
      <c r="B715" t="s">
        <v>629</v>
      </c>
      <c r="C715">
        <v>102</v>
      </c>
      <c r="D715" t="s">
        <v>28</v>
      </c>
      <c r="E715" s="1">
        <v>45310</v>
      </c>
      <c r="J715">
        <v>65</v>
      </c>
      <c r="K715">
        <v>89</v>
      </c>
    </row>
    <row r="716" spans="1:11" x14ac:dyDescent="0.3">
      <c r="A716" t="s">
        <v>600</v>
      </c>
      <c r="B716" t="s">
        <v>601</v>
      </c>
      <c r="C716">
        <v>92</v>
      </c>
      <c r="D716" t="s">
        <v>12</v>
      </c>
      <c r="E716" s="1">
        <v>45282</v>
      </c>
      <c r="J716">
        <v>87</v>
      </c>
      <c r="K716">
        <v>90</v>
      </c>
    </row>
    <row r="717" spans="1:11" x14ac:dyDescent="0.3">
      <c r="A717" t="s">
        <v>1486</v>
      </c>
      <c r="B717" t="s">
        <v>1487</v>
      </c>
      <c r="C717">
        <v>103</v>
      </c>
      <c r="D717" t="s">
        <v>28</v>
      </c>
      <c r="E717" s="1">
        <v>45716</v>
      </c>
      <c r="J717">
        <v>47</v>
      </c>
      <c r="K717">
        <v>55</v>
      </c>
    </row>
    <row r="718" spans="1:11" x14ac:dyDescent="0.3">
      <c r="A718" t="s">
        <v>1716</v>
      </c>
      <c r="B718" t="s">
        <v>1717</v>
      </c>
      <c r="C718">
        <v>104</v>
      </c>
      <c r="D718" t="s">
        <v>28</v>
      </c>
      <c r="E718" s="1">
        <v>45730</v>
      </c>
      <c r="J718">
        <v>42</v>
      </c>
      <c r="K718">
        <v>39</v>
      </c>
    </row>
    <row r="719" spans="1:11" x14ac:dyDescent="0.3">
      <c r="A719" t="s">
        <v>1718</v>
      </c>
      <c r="B719" t="s">
        <v>1719</v>
      </c>
      <c r="C719">
        <v>89</v>
      </c>
      <c r="D719" t="s">
        <v>18</v>
      </c>
      <c r="E719" s="1">
        <v>45670</v>
      </c>
      <c r="J719">
        <v>50</v>
      </c>
      <c r="K719">
        <v>39</v>
      </c>
    </row>
    <row r="720" spans="1:11" x14ac:dyDescent="0.3">
      <c r="A720" t="s">
        <v>1204</v>
      </c>
      <c r="B720" t="s">
        <v>1205</v>
      </c>
      <c r="C720">
        <v>95</v>
      </c>
      <c r="D720" t="s">
        <v>28</v>
      </c>
      <c r="E720" s="1">
        <v>45737</v>
      </c>
      <c r="J720">
        <v>63</v>
      </c>
      <c r="K720">
        <v>71</v>
      </c>
    </row>
    <row r="721" spans="1:11" x14ac:dyDescent="0.3">
      <c r="A721" t="s">
        <v>1926</v>
      </c>
      <c r="B721" t="s">
        <v>1927</v>
      </c>
      <c r="C721">
        <v>92</v>
      </c>
      <c r="D721" t="s">
        <v>28</v>
      </c>
      <c r="E721" s="1">
        <v>44868</v>
      </c>
      <c r="J721">
        <v>41</v>
      </c>
      <c r="K721">
        <v>24</v>
      </c>
    </row>
    <row r="722" spans="1:11" x14ac:dyDescent="0.3">
      <c r="A722" t="s">
        <v>1490</v>
      </c>
      <c r="B722" t="s">
        <v>1491</v>
      </c>
      <c r="C722">
        <v>104</v>
      </c>
      <c r="D722" t="s">
        <v>12</v>
      </c>
      <c r="E722" s="1">
        <v>45534</v>
      </c>
      <c r="J722">
        <v>43</v>
      </c>
      <c r="K722">
        <v>55</v>
      </c>
    </row>
    <row r="723" spans="1:11" x14ac:dyDescent="0.3">
      <c r="A723" t="s">
        <v>138</v>
      </c>
      <c r="B723" t="s">
        <v>139</v>
      </c>
      <c r="C723">
        <v>116</v>
      </c>
      <c r="D723" t="s">
        <v>15</v>
      </c>
      <c r="E723" s="1">
        <v>45037</v>
      </c>
      <c r="J723">
        <v>34</v>
      </c>
      <c r="K723">
        <v>25</v>
      </c>
    </row>
    <row r="724" spans="1:11" x14ac:dyDescent="0.3">
      <c r="A724" t="s">
        <v>1478</v>
      </c>
      <c r="B724" t="s">
        <v>1479</v>
      </c>
      <c r="C724">
        <v>98</v>
      </c>
      <c r="D724" t="s">
        <v>12</v>
      </c>
      <c r="E724" s="1">
        <v>44757</v>
      </c>
      <c r="J724">
        <v>45</v>
      </c>
      <c r="K724">
        <v>56</v>
      </c>
    </row>
    <row r="725" spans="1:11" x14ac:dyDescent="0.3">
      <c r="A725" t="s">
        <v>582</v>
      </c>
      <c r="B725" t="s">
        <v>583</v>
      </c>
      <c r="C725">
        <v>114</v>
      </c>
      <c r="D725" t="s">
        <v>18</v>
      </c>
      <c r="E725" s="1">
        <v>45569</v>
      </c>
      <c r="J725">
        <v>65</v>
      </c>
      <c r="K725">
        <v>90</v>
      </c>
    </row>
    <row r="726" spans="1:11" x14ac:dyDescent="0.3">
      <c r="A726" t="s">
        <v>608</v>
      </c>
      <c r="B726" t="s">
        <v>609</v>
      </c>
      <c r="C726">
        <v>101</v>
      </c>
      <c r="D726" t="s">
        <v>90</v>
      </c>
      <c r="E726" s="1">
        <v>44896</v>
      </c>
      <c r="J726">
        <v>62</v>
      </c>
      <c r="K726">
        <v>90</v>
      </c>
    </row>
    <row r="727" spans="1:11" x14ac:dyDescent="0.3">
      <c r="A727" t="s">
        <v>1605</v>
      </c>
      <c r="B727" t="s">
        <v>1606</v>
      </c>
      <c r="C727">
        <v>104</v>
      </c>
      <c r="D727" t="s">
        <v>28</v>
      </c>
      <c r="E727" s="1">
        <v>45548</v>
      </c>
      <c r="J727">
        <v>36</v>
      </c>
      <c r="K727">
        <v>46</v>
      </c>
    </row>
    <row r="728" spans="1:11" x14ac:dyDescent="0.3">
      <c r="A728" t="s">
        <v>976</v>
      </c>
      <c r="B728" t="s">
        <v>977</v>
      </c>
      <c r="C728">
        <v>108</v>
      </c>
      <c r="D728" t="s">
        <v>28</v>
      </c>
      <c r="E728" s="1">
        <v>45541</v>
      </c>
      <c r="J728">
        <v>55</v>
      </c>
      <c r="K728">
        <v>80</v>
      </c>
    </row>
    <row r="729" spans="1:11" x14ac:dyDescent="0.3">
      <c r="A729" t="s">
        <v>1928</v>
      </c>
      <c r="B729" t="s">
        <v>1929</v>
      </c>
      <c r="C729">
        <v>110</v>
      </c>
      <c r="D729" t="s">
        <v>15</v>
      </c>
      <c r="E729" s="1">
        <v>44736</v>
      </c>
      <c r="J729">
        <v>34</v>
      </c>
      <c r="K729">
        <v>24</v>
      </c>
    </row>
    <row r="730" spans="1:11" x14ac:dyDescent="0.3">
      <c r="A730" t="s">
        <v>1803</v>
      </c>
      <c r="B730" t="s">
        <v>1804</v>
      </c>
      <c r="C730">
        <v>106</v>
      </c>
      <c r="D730" t="s">
        <v>28</v>
      </c>
      <c r="E730" s="1">
        <v>45519</v>
      </c>
      <c r="J730">
        <v>41</v>
      </c>
      <c r="K730">
        <v>32</v>
      </c>
    </row>
    <row r="731" spans="1:11" x14ac:dyDescent="0.3">
      <c r="A731" t="s">
        <v>124</v>
      </c>
      <c r="B731" t="s">
        <v>125</v>
      </c>
      <c r="C731">
        <v>103</v>
      </c>
      <c r="D731" t="s">
        <v>28</v>
      </c>
      <c r="E731" s="1">
        <v>44652</v>
      </c>
      <c r="J731">
        <v>52</v>
      </c>
      <c r="K731">
        <v>45</v>
      </c>
    </row>
    <row r="732" spans="1:11" x14ac:dyDescent="0.3">
      <c r="A732" t="s">
        <v>91</v>
      </c>
      <c r="B732" t="s">
        <v>92</v>
      </c>
      <c r="C732">
        <v>92</v>
      </c>
      <c r="D732" t="s">
        <v>28</v>
      </c>
      <c r="E732" s="1">
        <v>45590</v>
      </c>
      <c r="J732">
        <v>54</v>
      </c>
      <c r="K732">
        <v>75</v>
      </c>
    </row>
    <row r="733" spans="1:11" x14ac:dyDescent="0.3">
      <c r="A733" t="s">
        <v>1468</v>
      </c>
      <c r="B733" t="s">
        <v>1469</v>
      </c>
      <c r="C733">
        <v>105</v>
      </c>
      <c r="D733" t="s">
        <v>15</v>
      </c>
      <c r="E733" s="1">
        <v>45506</v>
      </c>
      <c r="J733">
        <v>52</v>
      </c>
      <c r="K733">
        <v>56</v>
      </c>
    </row>
    <row r="734" spans="1:11" x14ac:dyDescent="0.3">
      <c r="A734" t="s">
        <v>1176</v>
      </c>
      <c r="B734" t="s">
        <v>1177</v>
      </c>
      <c r="C734">
        <v>89</v>
      </c>
      <c r="D734" t="s">
        <v>28</v>
      </c>
      <c r="E734" s="1">
        <v>45373</v>
      </c>
      <c r="J734">
        <v>57</v>
      </c>
      <c r="K734">
        <v>72</v>
      </c>
    </row>
    <row r="735" spans="1:11" x14ac:dyDescent="0.3">
      <c r="A735" t="s">
        <v>1916</v>
      </c>
      <c r="B735" t="s">
        <v>1917</v>
      </c>
      <c r="C735">
        <v>91</v>
      </c>
      <c r="D735" t="s">
        <v>28</v>
      </c>
      <c r="E735" s="1">
        <v>45527</v>
      </c>
      <c r="J735">
        <v>38</v>
      </c>
      <c r="K735">
        <v>24</v>
      </c>
    </row>
    <row r="736" spans="1:11" x14ac:dyDescent="0.3">
      <c r="A736" t="s">
        <v>1502</v>
      </c>
      <c r="B736" t="s">
        <v>1503</v>
      </c>
      <c r="C736">
        <v>133</v>
      </c>
      <c r="D736" t="s">
        <v>28</v>
      </c>
      <c r="E736" s="1">
        <v>45674</v>
      </c>
      <c r="J736">
        <v>53</v>
      </c>
      <c r="K736">
        <v>54</v>
      </c>
    </row>
    <row r="737" spans="1:11" x14ac:dyDescent="0.3">
      <c r="A737" t="s">
        <v>783</v>
      </c>
      <c r="B737" t="s">
        <v>784</v>
      </c>
      <c r="C737">
        <v>100</v>
      </c>
      <c r="D737" t="s">
        <v>15</v>
      </c>
      <c r="E737" s="1">
        <v>45429</v>
      </c>
      <c r="J737">
        <v>86</v>
      </c>
      <c r="K737">
        <v>85</v>
      </c>
    </row>
    <row r="738" spans="1:11" x14ac:dyDescent="0.3">
      <c r="A738" t="s">
        <v>1847</v>
      </c>
      <c r="B738" t="s">
        <v>1848</v>
      </c>
      <c r="C738">
        <v>108</v>
      </c>
      <c r="D738" t="s">
        <v>12</v>
      </c>
      <c r="E738" s="1">
        <v>44757</v>
      </c>
      <c r="J738">
        <v>42</v>
      </c>
      <c r="K738">
        <v>30</v>
      </c>
    </row>
    <row r="739" spans="1:11" x14ac:dyDescent="0.3">
      <c r="A739" t="s">
        <v>992</v>
      </c>
      <c r="B739" t="s">
        <v>993</v>
      </c>
      <c r="C739">
        <v>107</v>
      </c>
      <c r="D739" t="s">
        <v>28</v>
      </c>
      <c r="E739" s="1">
        <v>44706</v>
      </c>
      <c r="J739">
        <v>68</v>
      </c>
      <c r="K739">
        <v>80</v>
      </c>
    </row>
    <row r="740" spans="1:11" x14ac:dyDescent="0.3">
      <c r="A740" t="s">
        <v>1202</v>
      </c>
      <c r="B740" t="s">
        <v>1203</v>
      </c>
      <c r="C740">
        <v>94</v>
      </c>
      <c r="D740" t="s">
        <v>28</v>
      </c>
      <c r="E740" s="1">
        <v>44701</v>
      </c>
      <c r="J740">
        <v>62</v>
      </c>
      <c r="K740">
        <v>72</v>
      </c>
    </row>
    <row r="741" spans="1:11" x14ac:dyDescent="0.3">
      <c r="A741" t="s">
        <v>645</v>
      </c>
      <c r="B741" t="s">
        <v>646</v>
      </c>
      <c r="C741">
        <v>116</v>
      </c>
      <c r="D741" t="s">
        <v>28</v>
      </c>
      <c r="E741" s="1">
        <v>44887</v>
      </c>
      <c r="J741">
        <v>76</v>
      </c>
      <c r="K741">
        <v>89</v>
      </c>
    </row>
    <row r="742" spans="1:11" x14ac:dyDescent="0.3">
      <c r="A742" t="s">
        <v>844</v>
      </c>
      <c r="B742" t="s">
        <v>845</v>
      </c>
      <c r="C742">
        <v>132</v>
      </c>
      <c r="D742" t="s">
        <v>25</v>
      </c>
      <c r="E742" s="1">
        <v>45001</v>
      </c>
      <c r="J742">
        <v>67</v>
      </c>
      <c r="K742">
        <v>84</v>
      </c>
    </row>
    <row r="743" spans="1:11" x14ac:dyDescent="0.3">
      <c r="A743" t="s">
        <v>1414</v>
      </c>
      <c r="B743" t="s">
        <v>1415</v>
      </c>
      <c r="C743">
        <v>103</v>
      </c>
      <c r="D743" t="s">
        <v>18</v>
      </c>
      <c r="E743" s="1">
        <v>45485</v>
      </c>
      <c r="J743">
        <v>55</v>
      </c>
      <c r="K743">
        <v>59</v>
      </c>
    </row>
    <row r="744" spans="1:11" x14ac:dyDescent="0.3">
      <c r="A744" t="s">
        <v>808</v>
      </c>
      <c r="B744" t="s">
        <v>809</v>
      </c>
      <c r="C744">
        <v>111</v>
      </c>
      <c r="D744" t="s">
        <v>18</v>
      </c>
      <c r="E744" s="1">
        <v>44834</v>
      </c>
      <c r="J744">
        <v>79</v>
      </c>
      <c r="K744">
        <v>85</v>
      </c>
    </row>
    <row r="745" spans="1:11" x14ac:dyDescent="0.3">
      <c r="A745" t="s">
        <v>396</v>
      </c>
      <c r="B745" t="s">
        <v>397</v>
      </c>
      <c r="C745">
        <v>100</v>
      </c>
      <c r="D745" t="s">
        <v>28</v>
      </c>
      <c r="E745" s="1">
        <v>45352</v>
      </c>
      <c r="J745">
        <v>70</v>
      </c>
      <c r="K745">
        <v>94</v>
      </c>
    </row>
    <row r="746" spans="1:11" x14ac:dyDescent="0.3">
      <c r="A746" t="s">
        <v>635</v>
      </c>
      <c r="B746" t="s">
        <v>636</v>
      </c>
      <c r="C746">
        <v>91</v>
      </c>
      <c r="D746" t="s">
        <v>28</v>
      </c>
      <c r="E746" s="1">
        <v>45205</v>
      </c>
      <c r="J746">
        <v>77</v>
      </c>
      <c r="K746">
        <v>89</v>
      </c>
    </row>
    <row r="747" spans="1:11" x14ac:dyDescent="0.3">
      <c r="A747" t="s">
        <v>1647</v>
      </c>
      <c r="B747" t="s">
        <v>1648</v>
      </c>
      <c r="C747">
        <v>109</v>
      </c>
      <c r="D747" t="s">
        <v>12</v>
      </c>
      <c r="E747" s="1">
        <v>45709</v>
      </c>
      <c r="H747">
        <v>7.7030000000000003</v>
      </c>
      <c r="J747">
        <v>35</v>
      </c>
      <c r="K747">
        <v>43</v>
      </c>
    </row>
    <row r="748" spans="1:11" x14ac:dyDescent="0.3">
      <c r="A748" t="s">
        <v>1328</v>
      </c>
      <c r="B748" t="s">
        <v>1329</v>
      </c>
      <c r="C748">
        <v>91</v>
      </c>
      <c r="D748" t="s">
        <v>12</v>
      </c>
      <c r="E748" s="1">
        <v>45107</v>
      </c>
      <c r="J748">
        <v>50</v>
      </c>
      <c r="K748">
        <v>65</v>
      </c>
    </row>
    <row r="749" spans="1:11" x14ac:dyDescent="0.3">
      <c r="A749" t="s">
        <v>1762</v>
      </c>
      <c r="B749" t="s">
        <v>1763</v>
      </c>
      <c r="C749">
        <v>101</v>
      </c>
      <c r="D749" t="s">
        <v>12</v>
      </c>
      <c r="E749" s="1">
        <v>45436</v>
      </c>
      <c r="J749">
        <v>31</v>
      </c>
      <c r="K749">
        <v>36</v>
      </c>
    </row>
    <row r="750" spans="1:11" x14ac:dyDescent="0.3">
      <c r="A750" t="s">
        <v>101</v>
      </c>
      <c r="B750">
        <v>1992</v>
      </c>
      <c r="C750">
        <v>97</v>
      </c>
      <c r="D750" t="s">
        <v>28</v>
      </c>
      <c r="E750" s="1">
        <v>45534</v>
      </c>
      <c r="J750">
        <v>44</v>
      </c>
      <c r="K750">
        <v>65</v>
      </c>
    </row>
    <row r="751" spans="1:11" x14ac:dyDescent="0.3">
      <c r="A751" t="s">
        <v>814</v>
      </c>
      <c r="B751" t="s">
        <v>815</v>
      </c>
      <c r="C751">
        <v>94</v>
      </c>
      <c r="D751" t="s">
        <v>28</v>
      </c>
      <c r="E751" s="1">
        <v>44743</v>
      </c>
      <c r="J751">
        <v>43</v>
      </c>
      <c r="K751">
        <v>85</v>
      </c>
    </row>
    <row r="752" spans="1:11" x14ac:dyDescent="0.3">
      <c r="A752" t="s">
        <v>1766</v>
      </c>
      <c r="B752" t="s">
        <v>1767</v>
      </c>
      <c r="C752">
        <v>105</v>
      </c>
      <c r="D752" t="s">
        <v>632</v>
      </c>
      <c r="E752" s="1">
        <v>44617</v>
      </c>
      <c r="J752">
        <v>42</v>
      </c>
      <c r="K752">
        <v>36</v>
      </c>
    </row>
    <row r="753" spans="1:11" x14ac:dyDescent="0.3">
      <c r="A753" t="s">
        <v>1863</v>
      </c>
      <c r="B753" t="s">
        <v>792</v>
      </c>
      <c r="C753">
        <v>114</v>
      </c>
      <c r="D753" t="s">
        <v>28</v>
      </c>
      <c r="E753" s="1">
        <v>44680</v>
      </c>
      <c r="J753">
        <v>41</v>
      </c>
      <c r="K753">
        <v>29</v>
      </c>
    </row>
    <row r="754" spans="1:11" x14ac:dyDescent="0.3">
      <c r="A754" t="s">
        <v>1825</v>
      </c>
      <c r="B754" t="s">
        <v>1826</v>
      </c>
      <c r="C754">
        <v>122</v>
      </c>
      <c r="D754" t="s">
        <v>15</v>
      </c>
      <c r="E754" s="1">
        <v>45149</v>
      </c>
      <c r="J754">
        <v>44</v>
      </c>
      <c r="K754">
        <v>31</v>
      </c>
    </row>
    <row r="755" spans="1:11" x14ac:dyDescent="0.3">
      <c r="A755" t="s">
        <v>1548</v>
      </c>
      <c r="B755" t="s">
        <v>1549</v>
      </c>
      <c r="C755">
        <v>107</v>
      </c>
      <c r="D755" t="s">
        <v>28</v>
      </c>
      <c r="E755" s="1">
        <v>45352</v>
      </c>
      <c r="J755">
        <v>55</v>
      </c>
      <c r="K755">
        <v>50</v>
      </c>
    </row>
    <row r="756" spans="1:11" x14ac:dyDescent="0.3">
      <c r="A756" t="s">
        <v>1252</v>
      </c>
      <c r="B756" t="s">
        <v>1253</v>
      </c>
      <c r="C756">
        <v>113</v>
      </c>
      <c r="D756" t="s">
        <v>28</v>
      </c>
      <c r="E756" s="1">
        <v>44869</v>
      </c>
      <c r="J756">
        <v>59</v>
      </c>
      <c r="K756">
        <v>69</v>
      </c>
    </row>
    <row r="757" spans="1:11" x14ac:dyDescent="0.3">
      <c r="A757" t="s">
        <v>1748</v>
      </c>
      <c r="B757" t="s">
        <v>1749</v>
      </c>
      <c r="C757">
        <v>102</v>
      </c>
      <c r="D757" t="s">
        <v>15</v>
      </c>
      <c r="E757" s="1">
        <v>44799</v>
      </c>
      <c r="J757">
        <v>45</v>
      </c>
      <c r="K757">
        <v>38</v>
      </c>
    </row>
    <row r="758" spans="1:11" x14ac:dyDescent="0.3">
      <c r="A758" t="s">
        <v>1874</v>
      </c>
      <c r="B758" t="s">
        <v>1875</v>
      </c>
      <c r="C758">
        <v>90</v>
      </c>
      <c r="D758" t="s">
        <v>12</v>
      </c>
      <c r="E758" s="1">
        <v>45506</v>
      </c>
      <c r="J758">
        <v>34</v>
      </c>
      <c r="K758">
        <v>27</v>
      </c>
    </row>
    <row r="759" spans="1:11" x14ac:dyDescent="0.3">
      <c r="A759" t="s">
        <v>80</v>
      </c>
      <c r="B759" t="s">
        <v>81</v>
      </c>
      <c r="C759">
        <v>100</v>
      </c>
      <c r="D759" t="s">
        <v>12</v>
      </c>
      <c r="E759" s="1">
        <v>45184</v>
      </c>
      <c r="J759">
        <v>66</v>
      </c>
      <c r="K759">
        <v>78</v>
      </c>
    </row>
    <row r="760" spans="1:11" x14ac:dyDescent="0.3">
      <c r="A760" t="s">
        <v>1522</v>
      </c>
      <c r="B760" t="s">
        <v>1523</v>
      </c>
      <c r="C760">
        <v>107</v>
      </c>
      <c r="D760" t="s">
        <v>28</v>
      </c>
      <c r="E760" s="1">
        <v>45744</v>
      </c>
      <c r="J760">
        <v>55</v>
      </c>
      <c r="K760">
        <v>52</v>
      </c>
    </row>
    <row r="761" spans="1:11" x14ac:dyDescent="0.3">
      <c r="A761" t="s">
        <v>1956</v>
      </c>
      <c r="B761" t="s">
        <v>1957</v>
      </c>
      <c r="C761">
        <v>141</v>
      </c>
      <c r="D761" t="s">
        <v>28</v>
      </c>
      <c r="E761" s="1">
        <v>44918</v>
      </c>
      <c r="J761">
        <v>41</v>
      </c>
      <c r="K761">
        <v>20</v>
      </c>
    </row>
    <row r="762" spans="1:11" x14ac:dyDescent="0.3">
      <c r="A762" t="s">
        <v>1583</v>
      </c>
      <c r="B762" t="s">
        <v>1584</v>
      </c>
      <c r="C762">
        <v>106</v>
      </c>
      <c r="D762" t="s">
        <v>12</v>
      </c>
      <c r="E762" s="1">
        <v>45260</v>
      </c>
      <c r="J762">
        <v>37</v>
      </c>
      <c r="K762">
        <v>47</v>
      </c>
    </row>
    <row r="763" spans="1:11" x14ac:dyDescent="0.3">
      <c r="A763" t="s">
        <v>1613</v>
      </c>
      <c r="B763" t="s">
        <v>1614</v>
      </c>
      <c r="C763">
        <v>90</v>
      </c>
      <c r="D763" t="s">
        <v>15</v>
      </c>
      <c r="E763" s="1">
        <v>45016</v>
      </c>
      <c r="J763">
        <v>44</v>
      </c>
      <c r="K763">
        <v>46</v>
      </c>
    </row>
    <row r="764" spans="1:11" x14ac:dyDescent="0.3">
      <c r="A764" t="s">
        <v>1791</v>
      </c>
      <c r="B764" t="s">
        <v>1792</v>
      </c>
      <c r="C764">
        <v>102</v>
      </c>
      <c r="D764" t="s">
        <v>15</v>
      </c>
      <c r="E764" s="1">
        <v>45450</v>
      </c>
      <c r="J764">
        <v>46</v>
      </c>
      <c r="K764">
        <v>33</v>
      </c>
    </row>
    <row r="765" spans="1:11" x14ac:dyDescent="0.3">
      <c r="A765" t="s">
        <v>1831</v>
      </c>
      <c r="B765" t="s">
        <v>1832</v>
      </c>
      <c r="C765">
        <v>109</v>
      </c>
      <c r="D765" t="s">
        <v>15</v>
      </c>
      <c r="E765" s="1">
        <v>44967</v>
      </c>
      <c r="J765">
        <v>49</v>
      </c>
      <c r="K765">
        <v>31</v>
      </c>
    </row>
    <row r="766" spans="1:11" x14ac:dyDescent="0.3">
      <c r="A766" t="s">
        <v>1758</v>
      </c>
      <c r="B766" t="s">
        <v>1759</v>
      </c>
      <c r="C766">
        <v>92</v>
      </c>
      <c r="D766" t="s">
        <v>28</v>
      </c>
      <c r="E766" s="1">
        <v>44820</v>
      </c>
      <c r="J766">
        <v>45</v>
      </c>
      <c r="K766">
        <v>37</v>
      </c>
    </row>
    <row r="767" spans="1:11" x14ac:dyDescent="0.3">
      <c r="A767" t="s">
        <v>777</v>
      </c>
      <c r="B767" t="s">
        <v>778</v>
      </c>
      <c r="C767">
        <v>126</v>
      </c>
      <c r="D767" t="s">
        <v>28</v>
      </c>
      <c r="E767" s="1">
        <v>45527</v>
      </c>
      <c r="J767">
        <v>60</v>
      </c>
      <c r="K767">
        <v>85</v>
      </c>
    </row>
    <row r="768" spans="1:11" x14ac:dyDescent="0.3">
      <c r="A768" t="s">
        <v>1752</v>
      </c>
      <c r="B768" t="s">
        <v>1753</v>
      </c>
      <c r="C768">
        <v>101</v>
      </c>
      <c r="D768" t="s">
        <v>90</v>
      </c>
      <c r="E768" s="1">
        <v>45623</v>
      </c>
      <c r="J768">
        <v>41</v>
      </c>
      <c r="K768">
        <v>37</v>
      </c>
    </row>
    <row r="769" spans="1:11" x14ac:dyDescent="0.3">
      <c r="A769" t="s">
        <v>1188</v>
      </c>
      <c r="B769" t="s">
        <v>1189</v>
      </c>
      <c r="C769">
        <v>102</v>
      </c>
      <c r="D769" t="s">
        <v>12</v>
      </c>
      <c r="E769" s="1">
        <v>44888</v>
      </c>
      <c r="J769">
        <v>65</v>
      </c>
      <c r="K769">
        <v>72</v>
      </c>
    </row>
    <row r="770" spans="1:11" x14ac:dyDescent="0.3">
      <c r="A770" t="s">
        <v>1242</v>
      </c>
      <c r="B770" t="s">
        <v>1243</v>
      </c>
      <c r="C770">
        <v>91</v>
      </c>
      <c r="D770" t="s">
        <v>28</v>
      </c>
      <c r="E770" s="1">
        <v>45394</v>
      </c>
      <c r="J770">
        <v>57</v>
      </c>
      <c r="K770">
        <v>70</v>
      </c>
    </row>
    <row r="771" spans="1:11" x14ac:dyDescent="0.3">
      <c r="A771" t="s">
        <v>1378</v>
      </c>
      <c r="B771" t="s">
        <v>1379</v>
      </c>
      <c r="C771">
        <v>116</v>
      </c>
      <c r="D771" t="s">
        <v>28</v>
      </c>
      <c r="E771" s="1">
        <v>45091</v>
      </c>
      <c r="J771">
        <v>59</v>
      </c>
      <c r="K771">
        <v>62</v>
      </c>
    </row>
    <row r="772" spans="1:11" x14ac:dyDescent="0.3">
      <c r="A772" t="s">
        <v>1412</v>
      </c>
      <c r="B772" t="s">
        <v>1413</v>
      </c>
      <c r="C772">
        <v>97</v>
      </c>
      <c r="D772" t="s">
        <v>15</v>
      </c>
      <c r="E772" s="1">
        <v>45569</v>
      </c>
      <c r="J772">
        <v>54</v>
      </c>
      <c r="K772">
        <v>59</v>
      </c>
    </row>
    <row r="773" spans="1:11" x14ac:dyDescent="0.3">
      <c r="A773" t="s">
        <v>1738</v>
      </c>
      <c r="B773" t="s">
        <v>1739</v>
      </c>
      <c r="C773">
        <v>108</v>
      </c>
      <c r="D773" t="s">
        <v>28</v>
      </c>
      <c r="E773" s="1">
        <v>45534</v>
      </c>
      <c r="J773">
        <v>52</v>
      </c>
      <c r="K773">
        <v>38</v>
      </c>
    </row>
    <row r="774" spans="1:11" x14ac:dyDescent="0.3">
      <c r="A774" t="s">
        <v>1722</v>
      </c>
      <c r="B774" t="s">
        <v>1723</v>
      </c>
      <c r="C774">
        <v>94</v>
      </c>
      <c r="D774" t="s">
        <v>28</v>
      </c>
      <c r="E774" s="1">
        <v>45576</v>
      </c>
      <c r="J774">
        <v>46</v>
      </c>
      <c r="K774">
        <v>39</v>
      </c>
    </row>
    <row r="775" spans="1:11" x14ac:dyDescent="0.3">
      <c r="A775" t="s">
        <v>1192</v>
      </c>
      <c r="B775" t="s">
        <v>1193</v>
      </c>
      <c r="C775">
        <v>84</v>
      </c>
      <c r="D775" t="s">
        <v>28</v>
      </c>
      <c r="E775" s="1">
        <v>44841</v>
      </c>
      <c r="J775">
        <v>57</v>
      </c>
      <c r="K775">
        <v>72</v>
      </c>
    </row>
    <row r="776" spans="1:11" x14ac:dyDescent="0.3">
      <c r="A776" t="s">
        <v>1686</v>
      </c>
      <c r="B776" t="s">
        <v>1687</v>
      </c>
      <c r="C776">
        <v>89</v>
      </c>
      <c r="D776" t="s">
        <v>90</v>
      </c>
      <c r="E776" s="1">
        <v>44623</v>
      </c>
      <c r="J776">
        <v>51</v>
      </c>
      <c r="K776">
        <v>42</v>
      </c>
    </row>
    <row r="777" spans="1:11" x14ac:dyDescent="0.3">
      <c r="A777" t="s">
        <v>1754</v>
      </c>
      <c r="B777" t="s">
        <v>1755</v>
      </c>
      <c r="C777">
        <v>90</v>
      </c>
      <c r="D777" t="s">
        <v>15</v>
      </c>
      <c r="E777" s="1">
        <v>45072</v>
      </c>
      <c r="J777">
        <v>39</v>
      </c>
      <c r="K777">
        <v>37</v>
      </c>
    </row>
    <row r="778" spans="1:11" x14ac:dyDescent="0.3">
      <c r="A778" t="s">
        <v>1924</v>
      </c>
      <c r="B778" t="s">
        <v>1925</v>
      </c>
      <c r="C778">
        <v>156</v>
      </c>
      <c r="D778" t="s">
        <v>18</v>
      </c>
      <c r="E778" s="1">
        <v>45100</v>
      </c>
      <c r="J778">
        <v>31</v>
      </c>
      <c r="K778">
        <v>24</v>
      </c>
    </row>
    <row r="779" spans="1:11" x14ac:dyDescent="0.3">
      <c r="A779" t="s">
        <v>1577</v>
      </c>
      <c r="B779" t="s">
        <v>1578</v>
      </c>
      <c r="C779">
        <v>94</v>
      </c>
      <c r="D779" t="s">
        <v>28</v>
      </c>
      <c r="E779" s="1">
        <v>45729</v>
      </c>
      <c r="J779">
        <v>45</v>
      </c>
      <c r="K779">
        <v>47</v>
      </c>
    </row>
    <row r="780" spans="1:11" x14ac:dyDescent="0.3">
      <c r="A780" t="s">
        <v>1268</v>
      </c>
      <c r="B780" t="s">
        <v>1269</v>
      </c>
      <c r="C780">
        <v>96</v>
      </c>
      <c r="D780" t="s">
        <v>28</v>
      </c>
      <c r="E780" s="1">
        <v>45520</v>
      </c>
      <c r="J780">
        <v>61</v>
      </c>
      <c r="K780">
        <v>68</v>
      </c>
    </row>
    <row r="781" spans="1:11" x14ac:dyDescent="0.3">
      <c r="A781" t="s">
        <v>618</v>
      </c>
      <c r="B781" t="s">
        <v>619</v>
      </c>
      <c r="C781">
        <v>89</v>
      </c>
      <c r="D781" t="s">
        <v>28</v>
      </c>
      <c r="E781" s="1">
        <v>45660</v>
      </c>
      <c r="J781">
        <v>64</v>
      </c>
      <c r="K781">
        <v>89</v>
      </c>
    </row>
    <row r="782" spans="1:11" x14ac:dyDescent="0.3">
      <c r="A782" t="s">
        <v>1096</v>
      </c>
      <c r="B782" t="s">
        <v>1097</v>
      </c>
      <c r="C782">
        <v>116</v>
      </c>
      <c r="D782" t="s">
        <v>15</v>
      </c>
      <c r="E782" s="1">
        <v>44827</v>
      </c>
      <c r="J782">
        <v>52</v>
      </c>
      <c r="K782">
        <v>76</v>
      </c>
    </row>
    <row r="783" spans="1:11" x14ac:dyDescent="0.3">
      <c r="A783" t="s">
        <v>1326</v>
      </c>
      <c r="B783" t="s">
        <v>1327</v>
      </c>
      <c r="C783">
        <v>129</v>
      </c>
      <c r="D783" t="s">
        <v>15</v>
      </c>
      <c r="E783" s="1">
        <v>45303</v>
      </c>
      <c r="J783">
        <v>57</v>
      </c>
      <c r="K783">
        <v>65</v>
      </c>
    </row>
    <row r="784" spans="1:11" x14ac:dyDescent="0.3">
      <c r="A784" t="s">
        <v>1827</v>
      </c>
      <c r="B784" t="s">
        <v>1828</v>
      </c>
      <c r="C784">
        <v>112</v>
      </c>
      <c r="D784" t="s">
        <v>28</v>
      </c>
      <c r="E784" s="1">
        <v>45072</v>
      </c>
      <c r="J784">
        <v>37</v>
      </c>
      <c r="K784">
        <v>31</v>
      </c>
    </row>
    <row r="785" spans="1:11" x14ac:dyDescent="0.3">
      <c r="A785" t="s">
        <v>1054</v>
      </c>
      <c r="B785" t="s">
        <v>1055</v>
      </c>
      <c r="C785">
        <v>95</v>
      </c>
      <c r="D785" t="s">
        <v>18</v>
      </c>
      <c r="E785" s="1">
        <v>44988</v>
      </c>
      <c r="J785">
        <v>65</v>
      </c>
      <c r="K785">
        <v>77</v>
      </c>
    </row>
    <row r="786" spans="1:11" x14ac:dyDescent="0.3">
      <c r="A786" t="s">
        <v>1226</v>
      </c>
      <c r="B786" t="s">
        <v>1227</v>
      </c>
      <c r="C786">
        <v>106</v>
      </c>
      <c r="D786" t="s">
        <v>28</v>
      </c>
      <c r="E786" s="1">
        <v>44967</v>
      </c>
      <c r="J786">
        <v>57</v>
      </c>
      <c r="K786">
        <v>71</v>
      </c>
    </row>
    <row r="787" spans="1:11" x14ac:dyDescent="0.3">
      <c r="A787" t="s">
        <v>998</v>
      </c>
      <c r="B787" t="s">
        <v>999</v>
      </c>
      <c r="C787">
        <v>102</v>
      </c>
      <c r="D787" t="s">
        <v>28</v>
      </c>
      <c r="E787" s="1">
        <v>45513</v>
      </c>
      <c r="J787">
        <v>62</v>
      </c>
      <c r="K787">
        <v>79</v>
      </c>
    </row>
    <row r="788" spans="1:11" x14ac:dyDescent="0.3">
      <c r="A788" t="s">
        <v>1348</v>
      </c>
      <c r="B788" t="s">
        <v>1349</v>
      </c>
      <c r="C788">
        <v>136</v>
      </c>
      <c r="D788" t="s">
        <v>28</v>
      </c>
      <c r="E788" s="1">
        <v>44925</v>
      </c>
      <c r="J788">
        <v>66</v>
      </c>
      <c r="K788">
        <v>64</v>
      </c>
    </row>
    <row r="789" spans="1:11" x14ac:dyDescent="0.3">
      <c r="A789" t="s">
        <v>1428</v>
      </c>
      <c r="B789" t="s">
        <v>1429</v>
      </c>
      <c r="C789">
        <v>92</v>
      </c>
      <c r="D789" t="s">
        <v>28</v>
      </c>
      <c r="E789" s="1">
        <v>44638</v>
      </c>
      <c r="J789">
        <v>52</v>
      </c>
      <c r="K789">
        <v>59</v>
      </c>
    </row>
    <row r="790" spans="1:11" x14ac:dyDescent="0.3">
      <c r="A790" t="s">
        <v>1807</v>
      </c>
      <c r="B790" t="s">
        <v>1808</v>
      </c>
      <c r="C790">
        <v>141</v>
      </c>
      <c r="D790" t="s">
        <v>63</v>
      </c>
      <c r="E790" s="1">
        <v>44952</v>
      </c>
      <c r="J790">
        <v>51</v>
      </c>
      <c r="K790">
        <v>32</v>
      </c>
    </row>
    <row r="791" spans="1:11" x14ac:dyDescent="0.3">
      <c r="A791" t="s">
        <v>134</v>
      </c>
      <c r="B791" t="s">
        <v>135</v>
      </c>
      <c r="C791">
        <v>119</v>
      </c>
      <c r="D791" t="s">
        <v>12</v>
      </c>
      <c r="E791" s="1">
        <v>44883</v>
      </c>
      <c r="J791">
        <v>50</v>
      </c>
      <c r="K791">
        <v>38</v>
      </c>
    </row>
    <row r="792" spans="1:11" x14ac:dyDescent="0.3">
      <c r="A792" t="s">
        <v>1966</v>
      </c>
      <c r="B792" t="s">
        <v>1967</v>
      </c>
      <c r="C792">
        <v>118</v>
      </c>
      <c r="D792" t="s">
        <v>15</v>
      </c>
      <c r="E792" s="1">
        <v>45436</v>
      </c>
      <c r="J792">
        <v>37</v>
      </c>
      <c r="K792">
        <v>18</v>
      </c>
    </row>
    <row r="793" spans="1:11" x14ac:dyDescent="0.3">
      <c r="A793" t="s">
        <v>1661</v>
      </c>
      <c r="B793" t="s">
        <v>1662</v>
      </c>
      <c r="C793">
        <v>115</v>
      </c>
      <c r="D793" t="s">
        <v>28</v>
      </c>
      <c r="E793" s="1">
        <v>45058</v>
      </c>
      <c r="J793">
        <v>45</v>
      </c>
      <c r="K793">
        <v>43</v>
      </c>
    </row>
    <row r="794" spans="1:11" x14ac:dyDescent="0.3">
      <c r="A794" t="s">
        <v>1538</v>
      </c>
      <c r="B794" t="s">
        <v>1539</v>
      </c>
      <c r="C794">
        <v>110</v>
      </c>
      <c r="D794" t="s">
        <v>28</v>
      </c>
      <c r="E794" s="1">
        <v>45177</v>
      </c>
      <c r="J794">
        <v>47</v>
      </c>
      <c r="K794">
        <v>51</v>
      </c>
    </row>
    <row r="795" spans="1:11" x14ac:dyDescent="0.3">
      <c r="A795" t="s">
        <v>1567</v>
      </c>
      <c r="B795" t="s">
        <v>1568</v>
      </c>
      <c r="C795">
        <v>109</v>
      </c>
      <c r="D795" t="s">
        <v>12</v>
      </c>
      <c r="E795" s="1">
        <v>45618</v>
      </c>
      <c r="J795">
        <v>54</v>
      </c>
      <c r="K795">
        <v>48</v>
      </c>
    </row>
    <row r="796" spans="1:11" x14ac:dyDescent="0.3">
      <c r="A796" t="s">
        <v>1284</v>
      </c>
      <c r="B796" t="s">
        <v>1285</v>
      </c>
      <c r="C796">
        <v>93</v>
      </c>
      <c r="D796" t="s">
        <v>28</v>
      </c>
      <c r="E796" s="1">
        <v>44792</v>
      </c>
      <c r="J796">
        <v>54</v>
      </c>
      <c r="K796">
        <v>68</v>
      </c>
    </row>
    <row r="797" spans="1:11" x14ac:dyDescent="0.3">
      <c r="A797" t="s">
        <v>1488</v>
      </c>
      <c r="B797" t="s">
        <v>1489</v>
      </c>
      <c r="C797">
        <v>91</v>
      </c>
      <c r="D797" t="s">
        <v>28</v>
      </c>
      <c r="E797" s="1">
        <v>45622</v>
      </c>
      <c r="J797">
        <v>50</v>
      </c>
      <c r="K797">
        <v>55</v>
      </c>
    </row>
    <row r="798" spans="1:11" x14ac:dyDescent="0.3">
      <c r="A798" t="s">
        <v>1591</v>
      </c>
      <c r="B798" t="s">
        <v>1592</v>
      </c>
      <c r="C798">
        <v>167</v>
      </c>
      <c r="D798" t="s">
        <v>18</v>
      </c>
      <c r="E798" s="1">
        <v>44813</v>
      </c>
      <c r="J798">
        <v>57</v>
      </c>
      <c r="K798">
        <v>47</v>
      </c>
    </row>
    <row r="799" spans="1:11" x14ac:dyDescent="0.3">
      <c r="A799" t="s">
        <v>1611</v>
      </c>
      <c r="B799" t="s">
        <v>1612</v>
      </c>
      <c r="C799">
        <v>107</v>
      </c>
      <c r="D799" t="s">
        <v>15</v>
      </c>
      <c r="E799" s="1">
        <v>45058</v>
      </c>
      <c r="J799">
        <v>46</v>
      </c>
      <c r="K799">
        <v>46</v>
      </c>
    </row>
    <row r="800" spans="1:11" x14ac:dyDescent="0.3">
      <c r="A800" t="s">
        <v>1569</v>
      </c>
      <c r="B800" t="s">
        <v>1570</v>
      </c>
      <c r="C800">
        <v>95</v>
      </c>
      <c r="D800" t="s">
        <v>12</v>
      </c>
      <c r="E800" s="1">
        <v>45252</v>
      </c>
      <c r="J800">
        <v>47</v>
      </c>
      <c r="K800">
        <v>48</v>
      </c>
    </row>
    <row r="801" spans="1:11" x14ac:dyDescent="0.3">
      <c r="A801" t="s">
        <v>1940</v>
      </c>
      <c r="B801" t="s">
        <v>1941</v>
      </c>
      <c r="C801">
        <v>133</v>
      </c>
      <c r="D801" t="s">
        <v>15</v>
      </c>
      <c r="E801" s="1">
        <v>45281</v>
      </c>
      <c r="J801">
        <v>31</v>
      </c>
      <c r="K801">
        <v>22</v>
      </c>
    </row>
    <row r="802" spans="1:11" x14ac:dyDescent="0.3">
      <c r="A802" t="s">
        <v>556</v>
      </c>
      <c r="B802" t="s">
        <v>557</v>
      </c>
      <c r="C802">
        <v>104</v>
      </c>
      <c r="D802" t="s">
        <v>28</v>
      </c>
      <c r="E802" s="1">
        <v>45181</v>
      </c>
      <c r="J802">
        <v>60</v>
      </c>
      <c r="K802">
        <v>91</v>
      </c>
    </row>
    <row r="803" spans="1:11" x14ac:dyDescent="0.3">
      <c r="A803" t="s">
        <v>1565</v>
      </c>
      <c r="B803" t="s">
        <v>1566</v>
      </c>
      <c r="C803">
        <v>103</v>
      </c>
      <c r="D803" t="s">
        <v>28</v>
      </c>
      <c r="E803" s="1">
        <v>45674</v>
      </c>
      <c r="J803">
        <v>50</v>
      </c>
      <c r="K803">
        <v>48</v>
      </c>
    </row>
    <row r="804" spans="1:11" x14ac:dyDescent="0.3">
      <c r="A804" t="s">
        <v>545</v>
      </c>
      <c r="B804" t="s">
        <v>546</v>
      </c>
      <c r="C804">
        <v>93</v>
      </c>
      <c r="D804" t="s">
        <v>28</v>
      </c>
      <c r="E804" s="1">
        <v>45366</v>
      </c>
      <c r="J804">
        <v>65</v>
      </c>
      <c r="K804">
        <v>91</v>
      </c>
    </row>
    <row r="805" spans="1:11" x14ac:dyDescent="0.3">
      <c r="A805" t="s">
        <v>1458</v>
      </c>
      <c r="B805" t="s">
        <v>1459</v>
      </c>
      <c r="C805">
        <v>95</v>
      </c>
      <c r="D805" t="s">
        <v>63</v>
      </c>
      <c r="E805" s="1">
        <v>45723</v>
      </c>
      <c r="J805">
        <v>62</v>
      </c>
      <c r="K805">
        <v>56</v>
      </c>
    </row>
    <row r="806" spans="1:11" x14ac:dyDescent="0.3">
      <c r="A806" t="s">
        <v>122</v>
      </c>
      <c r="B806" t="s">
        <v>123</v>
      </c>
      <c r="C806">
        <v>114</v>
      </c>
      <c r="D806" t="s">
        <v>28</v>
      </c>
      <c r="E806" s="1">
        <v>45568</v>
      </c>
      <c r="J806">
        <v>47</v>
      </c>
      <c r="K806">
        <v>46</v>
      </c>
    </row>
    <row r="807" spans="1:11" x14ac:dyDescent="0.3">
      <c r="A807" t="s">
        <v>1659</v>
      </c>
      <c r="B807" t="s">
        <v>1660</v>
      </c>
      <c r="C807">
        <v>110</v>
      </c>
      <c r="D807" t="s">
        <v>15</v>
      </c>
      <c r="E807" s="1">
        <v>45224</v>
      </c>
      <c r="J807">
        <v>60</v>
      </c>
      <c r="K807">
        <v>43</v>
      </c>
    </row>
    <row r="808" spans="1:11" x14ac:dyDescent="0.3">
      <c r="A808" t="s">
        <v>110</v>
      </c>
      <c r="B808" t="s">
        <v>111</v>
      </c>
      <c r="C808">
        <v>101</v>
      </c>
      <c r="D808" t="s">
        <v>28</v>
      </c>
      <c r="E808" s="1">
        <v>45681</v>
      </c>
      <c r="J808">
        <v>55</v>
      </c>
      <c r="K808">
        <v>55</v>
      </c>
    </row>
    <row r="809" spans="1:11" x14ac:dyDescent="0.3">
      <c r="A809" t="s">
        <v>61</v>
      </c>
      <c r="B809" t="s">
        <v>62</v>
      </c>
      <c r="C809">
        <v>92</v>
      </c>
      <c r="D809" t="s">
        <v>63</v>
      </c>
      <c r="E809" s="1">
        <v>45576</v>
      </c>
      <c r="J809">
        <v>69</v>
      </c>
      <c r="K809">
        <v>84</v>
      </c>
    </row>
    <row r="810" spans="1:11" x14ac:dyDescent="0.3">
      <c r="A810" t="s">
        <v>1793</v>
      </c>
      <c r="B810" t="s">
        <v>1794</v>
      </c>
      <c r="C810">
        <v>139</v>
      </c>
      <c r="D810" t="s">
        <v>15</v>
      </c>
      <c r="E810" s="1">
        <v>45324</v>
      </c>
      <c r="J810">
        <v>35</v>
      </c>
      <c r="K810">
        <v>33</v>
      </c>
    </row>
    <row r="811" spans="1:11" x14ac:dyDescent="0.3">
      <c r="A811" t="s">
        <v>1484</v>
      </c>
      <c r="B811" t="s">
        <v>1485</v>
      </c>
      <c r="C811">
        <v>106</v>
      </c>
      <c r="D811" t="s">
        <v>28</v>
      </c>
      <c r="E811" s="1">
        <v>44617</v>
      </c>
      <c r="J811">
        <v>50</v>
      </c>
      <c r="K811">
        <v>56</v>
      </c>
    </row>
    <row r="812" spans="1:11" x14ac:dyDescent="0.3">
      <c r="A812" t="s">
        <v>1182</v>
      </c>
      <c r="B812" t="s">
        <v>1183</v>
      </c>
      <c r="C812">
        <v>105</v>
      </c>
      <c r="D812" t="s">
        <v>28</v>
      </c>
      <c r="E812" s="1">
        <v>45225</v>
      </c>
      <c r="J812">
        <v>55</v>
      </c>
      <c r="K812">
        <v>72</v>
      </c>
    </row>
    <row r="813" spans="1:11" x14ac:dyDescent="0.3">
      <c r="A813" t="s">
        <v>1376</v>
      </c>
      <c r="B813" t="s">
        <v>1377</v>
      </c>
      <c r="C813">
        <v>88</v>
      </c>
      <c r="D813" t="s">
        <v>28</v>
      </c>
      <c r="E813" s="1">
        <v>45138</v>
      </c>
      <c r="J813">
        <v>61</v>
      </c>
      <c r="K813">
        <v>62</v>
      </c>
    </row>
    <row r="814" spans="1:11" x14ac:dyDescent="0.3">
      <c r="A814" t="s">
        <v>1970</v>
      </c>
      <c r="B814" t="s">
        <v>1971</v>
      </c>
      <c r="C814">
        <v>95</v>
      </c>
      <c r="D814" t="s">
        <v>28</v>
      </c>
      <c r="E814" s="1">
        <v>45561</v>
      </c>
      <c r="J814">
        <v>33</v>
      </c>
      <c r="K814">
        <v>17</v>
      </c>
    </row>
    <row r="815" spans="1:11" x14ac:dyDescent="0.3">
      <c r="A815" t="s">
        <v>1396</v>
      </c>
      <c r="B815" t="s">
        <v>1397</v>
      </c>
      <c r="C815">
        <v>99</v>
      </c>
      <c r="D815" t="s">
        <v>28</v>
      </c>
      <c r="E815" s="1">
        <v>45632</v>
      </c>
      <c r="J815">
        <v>56</v>
      </c>
      <c r="K815">
        <v>60</v>
      </c>
    </row>
    <row r="816" spans="1:11" x14ac:dyDescent="0.3">
      <c r="A816" t="s">
        <v>1000</v>
      </c>
      <c r="B816" t="s">
        <v>1001</v>
      </c>
      <c r="C816">
        <v>94</v>
      </c>
      <c r="D816" t="s">
        <v>18</v>
      </c>
      <c r="E816" s="1">
        <v>45471</v>
      </c>
      <c r="J816">
        <v>68</v>
      </c>
      <c r="K816">
        <v>79</v>
      </c>
    </row>
    <row r="817" spans="1:11" x14ac:dyDescent="0.3">
      <c r="A817" t="s">
        <v>846</v>
      </c>
      <c r="B817" t="s">
        <v>847</v>
      </c>
      <c r="C817">
        <v>89</v>
      </c>
      <c r="D817" t="s">
        <v>28</v>
      </c>
      <c r="E817" s="1">
        <v>44946</v>
      </c>
      <c r="J817">
        <v>65</v>
      </c>
      <c r="K817">
        <v>84</v>
      </c>
    </row>
    <row r="818" spans="1:11" x14ac:dyDescent="0.3">
      <c r="A818" t="s">
        <v>53</v>
      </c>
      <c r="B818" t="s">
        <v>54</v>
      </c>
      <c r="C818">
        <v>102</v>
      </c>
      <c r="D818" t="s">
        <v>28</v>
      </c>
      <c r="E818" s="1">
        <v>44820</v>
      </c>
      <c r="J818">
        <v>77</v>
      </c>
      <c r="K818">
        <v>88</v>
      </c>
    </row>
    <row r="819" spans="1:11" x14ac:dyDescent="0.3">
      <c r="A819" t="s">
        <v>1859</v>
      </c>
      <c r="B819" t="s">
        <v>1860</v>
      </c>
      <c r="C819">
        <v>100</v>
      </c>
      <c r="D819" t="s">
        <v>28</v>
      </c>
      <c r="E819" s="1">
        <v>44834</v>
      </c>
      <c r="J819">
        <v>47</v>
      </c>
      <c r="K819">
        <v>29</v>
      </c>
    </row>
    <row r="820" spans="1:11" x14ac:dyDescent="0.3">
      <c r="A820" t="s">
        <v>1320</v>
      </c>
      <c r="B820" t="s">
        <v>1321</v>
      </c>
      <c r="C820">
        <v>130</v>
      </c>
      <c r="D820" t="s">
        <v>15</v>
      </c>
      <c r="E820" s="1">
        <v>45184</v>
      </c>
      <c r="J820">
        <v>54</v>
      </c>
      <c r="K820">
        <v>66</v>
      </c>
    </row>
    <row r="821" spans="1:11" x14ac:dyDescent="0.3">
      <c r="A821" t="s">
        <v>972</v>
      </c>
      <c r="B821" t="s">
        <v>973</v>
      </c>
      <c r="C821">
        <v>106</v>
      </c>
      <c r="D821" t="s">
        <v>15</v>
      </c>
      <c r="E821" s="1">
        <v>45604</v>
      </c>
      <c r="J821">
        <v>72</v>
      </c>
      <c r="K821">
        <v>80</v>
      </c>
    </row>
    <row r="822" spans="1:11" x14ac:dyDescent="0.3">
      <c r="A822" t="s">
        <v>1452</v>
      </c>
      <c r="B822" t="s">
        <v>1453</v>
      </c>
      <c r="C822">
        <v>99</v>
      </c>
      <c r="D822" t="s">
        <v>12</v>
      </c>
      <c r="E822" s="1">
        <v>44827</v>
      </c>
      <c r="J822">
        <v>54</v>
      </c>
      <c r="K822">
        <v>57</v>
      </c>
    </row>
    <row r="823" spans="1:11" x14ac:dyDescent="0.3">
      <c r="A823" t="s">
        <v>1726</v>
      </c>
      <c r="B823" t="s">
        <v>1727</v>
      </c>
      <c r="C823">
        <v>107</v>
      </c>
      <c r="D823" t="s">
        <v>15</v>
      </c>
      <c r="E823" s="1">
        <v>45114</v>
      </c>
      <c r="J823">
        <v>45</v>
      </c>
      <c r="K823">
        <v>39</v>
      </c>
    </row>
    <row r="824" spans="1:11" x14ac:dyDescent="0.3">
      <c r="A824" t="s">
        <v>1821</v>
      </c>
      <c r="B824" t="s">
        <v>1822</v>
      </c>
      <c r="C824">
        <v>107</v>
      </c>
      <c r="D824" t="s">
        <v>15</v>
      </c>
      <c r="E824" s="1">
        <v>45303</v>
      </c>
      <c r="J824">
        <v>40</v>
      </c>
      <c r="K824">
        <v>31</v>
      </c>
    </row>
    <row r="825" spans="1:11" x14ac:dyDescent="0.3">
      <c r="A825" t="s">
        <v>2002</v>
      </c>
      <c r="B825" t="s">
        <v>2003</v>
      </c>
      <c r="C825">
        <v>108</v>
      </c>
      <c r="D825" t="s">
        <v>28</v>
      </c>
      <c r="E825" s="1">
        <v>45226</v>
      </c>
      <c r="J825">
        <v>26</v>
      </c>
      <c r="K825">
        <v>10</v>
      </c>
    </row>
    <row r="826" spans="1:11" x14ac:dyDescent="0.3">
      <c r="A826" t="s">
        <v>1629</v>
      </c>
      <c r="B826" t="s">
        <v>1630</v>
      </c>
      <c r="C826">
        <v>101</v>
      </c>
      <c r="D826" t="s">
        <v>28</v>
      </c>
      <c r="E826" s="1">
        <v>44953</v>
      </c>
      <c r="J826">
        <v>46</v>
      </c>
      <c r="K826">
        <v>45</v>
      </c>
    </row>
    <row r="827" spans="1:11" x14ac:dyDescent="0.3">
      <c r="A827" t="s">
        <v>1805</v>
      </c>
      <c r="B827" t="s">
        <v>1806</v>
      </c>
      <c r="C827">
        <v>93</v>
      </c>
      <c r="D827" t="s">
        <v>28</v>
      </c>
      <c r="E827" s="1">
        <v>45058</v>
      </c>
      <c r="J827">
        <v>53</v>
      </c>
      <c r="K827">
        <v>32</v>
      </c>
    </row>
    <row r="828" spans="1:11" x14ac:dyDescent="0.3">
      <c r="A828" t="s">
        <v>76</v>
      </c>
      <c r="B828" t="s">
        <v>77</v>
      </c>
      <c r="C828">
        <v>92</v>
      </c>
      <c r="D828" t="s">
        <v>28</v>
      </c>
      <c r="E828" s="1">
        <v>45394</v>
      </c>
      <c r="J828">
        <v>57</v>
      </c>
      <c r="K828">
        <v>78</v>
      </c>
    </row>
    <row r="829" spans="1:11" x14ac:dyDescent="0.3">
      <c r="A829" t="s">
        <v>174</v>
      </c>
      <c r="B829" t="s">
        <v>175</v>
      </c>
      <c r="C829">
        <v>100</v>
      </c>
      <c r="D829" t="s">
        <v>28</v>
      </c>
      <c r="E829" s="1">
        <v>45303</v>
      </c>
      <c r="J829">
        <v>38</v>
      </c>
      <c r="K829">
        <v>100</v>
      </c>
    </row>
    <row r="830" spans="1:11" x14ac:dyDescent="0.3">
      <c r="A830" t="s">
        <v>1936</v>
      </c>
      <c r="B830" t="s">
        <v>1937</v>
      </c>
      <c r="C830">
        <v>111</v>
      </c>
      <c r="D830" t="s">
        <v>28</v>
      </c>
      <c r="E830" s="1">
        <v>44694</v>
      </c>
      <c r="J830">
        <v>47</v>
      </c>
      <c r="K830">
        <v>23</v>
      </c>
    </row>
    <row r="831" spans="1:11" x14ac:dyDescent="0.3">
      <c r="A831" t="s">
        <v>1404</v>
      </c>
      <c r="B831" t="s">
        <v>1405</v>
      </c>
      <c r="C831">
        <v>90</v>
      </c>
      <c r="D831" t="s">
        <v>25</v>
      </c>
      <c r="E831" s="1">
        <v>45135</v>
      </c>
      <c r="J831">
        <v>54</v>
      </c>
      <c r="K831">
        <v>60</v>
      </c>
    </row>
    <row r="832" spans="1:11" x14ac:dyDescent="0.3">
      <c r="A832" t="s">
        <v>1667</v>
      </c>
      <c r="B832" t="s">
        <v>1668</v>
      </c>
      <c r="C832">
        <v>167</v>
      </c>
      <c r="D832" t="s">
        <v>1669</v>
      </c>
      <c r="E832" s="1">
        <v>44832</v>
      </c>
      <c r="J832">
        <v>50</v>
      </c>
      <c r="K832">
        <v>43</v>
      </c>
    </row>
    <row r="833" spans="1:11" x14ac:dyDescent="0.3">
      <c r="A833" t="s">
        <v>1272</v>
      </c>
      <c r="B833" t="s">
        <v>1273</v>
      </c>
      <c r="C833">
        <v>112</v>
      </c>
      <c r="D833" t="s">
        <v>15</v>
      </c>
      <c r="E833" s="1">
        <v>45303</v>
      </c>
      <c r="J833">
        <v>58</v>
      </c>
      <c r="K833">
        <v>68</v>
      </c>
    </row>
    <row r="834" spans="1:11" x14ac:dyDescent="0.3">
      <c r="A834" t="s">
        <v>1418</v>
      </c>
      <c r="B834" t="s">
        <v>1419</v>
      </c>
      <c r="C834">
        <v>98</v>
      </c>
      <c r="D834" t="s">
        <v>28</v>
      </c>
      <c r="E834" s="1">
        <v>45198</v>
      </c>
      <c r="J834">
        <v>58</v>
      </c>
      <c r="K834">
        <v>59</v>
      </c>
    </row>
    <row r="835" spans="1:11" x14ac:dyDescent="0.3">
      <c r="A835" t="s">
        <v>1362</v>
      </c>
      <c r="B835" t="s">
        <v>1363</v>
      </c>
      <c r="C835">
        <v>135</v>
      </c>
      <c r="D835" t="s">
        <v>28</v>
      </c>
      <c r="E835" s="1">
        <v>44848</v>
      </c>
      <c r="J835">
        <v>65</v>
      </c>
      <c r="K835">
        <v>63</v>
      </c>
    </row>
    <row r="836" spans="1:11" x14ac:dyDescent="0.3">
      <c r="A836" t="s">
        <v>1779</v>
      </c>
      <c r="B836" t="s">
        <v>1780</v>
      </c>
      <c r="C836">
        <v>115</v>
      </c>
      <c r="D836" t="s">
        <v>28</v>
      </c>
      <c r="E836" s="1">
        <v>44638</v>
      </c>
      <c r="J836">
        <v>53</v>
      </c>
      <c r="K836">
        <v>35</v>
      </c>
    </row>
    <row r="837" spans="1:11" x14ac:dyDescent="0.3">
      <c r="A837" t="s">
        <v>1563</v>
      </c>
      <c r="B837" t="s">
        <v>1564</v>
      </c>
      <c r="C837">
        <v>109</v>
      </c>
      <c r="D837" t="s">
        <v>28</v>
      </c>
      <c r="E837" s="1">
        <v>45687</v>
      </c>
      <c r="J837">
        <v>51</v>
      </c>
      <c r="K837">
        <v>48</v>
      </c>
    </row>
    <row r="838" spans="1:11" x14ac:dyDescent="0.3">
      <c r="A838" t="s">
        <v>1374</v>
      </c>
      <c r="B838" t="s">
        <v>1375</v>
      </c>
      <c r="C838">
        <v>98</v>
      </c>
      <c r="D838" t="s">
        <v>28</v>
      </c>
      <c r="E838" s="1">
        <v>45624</v>
      </c>
      <c r="J838">
        <v>57</v>
      </c>
      <c r="K838">
        <v>62</v>
      </c>
    </row>
    <row r="839" spans="1:11" x14ac:dyDescent="0.3">
      <c r="A839" t="s">
        <v>1734</v>
      </c>
      <c r="B839" t="s">
        <v>1735</v>
      </c>
      <c r="C839">
        <v>106</v>
      </c>
      <c r="D839" t="s">
        <v>28</v>
      </c>
      <c r="E839" s="1">
        <v>44729</v>
      </c>
      <c r="J839">
        <v>54</v>
      </c>
      <c r="K839">
        <v>39</v>
      </c>
    </row>
    <row r="840" spans="1:11" x14ac:dyDescent="0.3">
      <c r="A840" t="s">
        <v>104</v>
      </c>
      <c r="B840" t="s">
        <v>105</v>
      </c>
      <c r="C840">
        <v>105</v>
      </c>
      <c r="D840" t="s">
        <v>28</v>
      </c>
      <c r="E840" s="1">
        <v>45181</v>
      </c>
      <c r="J840">
        <v>53</v>
      </c>
      <c r="K840">
        <v>62</v>
      </c>
    </row>
    <row r="841" spans="1:11" x14ac:dyDescent="0.3">
      <c r="A841" t="s">
        <v>789</v>
      </c>
      <c r="B841" t="s">
        <v>790</v>
      </c>
      <c r="C841">
        <v>88</v>
      </c>
      <c r="D841" t="s">
        <v>28</v>
      </c>
      <c r="E841" s="1">
        <v>45331</v>
      </c>
      <c r="J841">
        <v>68</v>
      </c>
      <c r="K841">
        <v>85</v>
      </c>
    </row>
    <row r="842" spans="1:11" x14ac:dyDescent="0.3">
      <c r="A842" t="s">
        <v>1022</v>
      </c>
      <c r="B842" t="s">
        <v>1023</v>
      </c>
      <c r="C842">
        <v>107</v>
      </c>
      <c r="D842" t="s">
        <v>28</v>
      </c>
      <c r="E842" s="1">
        <v>45317</v>
      </c>
      <c r="J842">
        <v>66</v>
      </c>
      <c r="K842">
        <v>78</v>
      </c>
    </row>
    <row r="843" spans="1:11" x14ac:dyDescent="0.3">
      <c r="A843" t="s">
        <v>1728</v>
      </c>
      <c r="B843" t="s">
        <v>1729</v>
      </c>
      <c r="C843">
        <v>117</v>
      </c>
      <c r="D843" t="s">
        <v>28</v>
      </c>
      <c r="E843" s="1">
        <v>44953</v>
      </c>
      <c r="J843">
        <v>50</v>
      </c>
      <c r="K843">
        <v>39</v>
      </c>
    </row>
    <row r="844" spans="1:11" x14ac:dyDescent="0.3">
      <c r="A844" t="s">
        <v>1382</v>
      </c>
      <c r="B844" t="s">
        <v>1383</v>
      </c>
      <c r="C844">
        <v>104</v>
      </c>
      <c r="D844" t="s">
        <v>28</v>
      </c>
      <c r="E844" s="1">
        <v>44862</v>
      </c>
      <c r="J844">
        <v>51</v>
      </c>
      <c r="K844">
        <v>62</v>
      </c>
    </row>
    <row r="845" spans="1:11" x14ac:dyDescent="0.3">
      <c r="A845" t="s">
        <v>1174</v>
      </c>
      <c r="B845" t="s">
        <v>1175</v>
      </c>
      <c r="C845">
        <v>93</v>
      </c>
      <c r="D845" t="s">
        <v>28</v>
      </c>
      <c r="E845" s="1">
        <v>45499</v>
      </c>
      <c r="J845">
        <v>59</v>
      </c>
      <c r="K845">
        <v>72</v>
      </c>
    </row>
    <row r="846" spans="1:11" x14ac:dyDescent="0.3">
      <c r="A846" t="s">
        <v>1724</v>
      </c>
      <c r="B846" t="s">
        <v>1725</v>
      </c>
      <c r="C846">
        <v>97</v>
      </c>
      <c r="D846" t="s">
        <v>15</v>
      </c>
      <c r="E846" s="1">
        <v>45415</v>
      </c>
      <c r="J846">
        <v>42</v>
      </c>
      <c r="K846">
        <v>39</v>
      </c>
    </row>
    <row r="847" spans="1:11" x14ac:dyDescent="0.3">
      <c r="A847" t="s">
        <v>1460</v>
      </c>
      <c r="B847" t="s">
        <v>1461</v>
      </c>
      <c r="C847">
        <v>148</v>
      </c>
      <c r="D847" t="s">
        <v>28</v>
      </c>
      <c r="E847" s="1">
        <v>45708</v>
      </c>
      <c r="J847">
        <v>66</v>
      </c>
      <c r="K847">
        <v>56</v>
      </c>
    </row>
    <row r="848" spans="1:11" x14ac:dyDescent="0.3">
      <c r="A848" t="s">
        <v>1206</v>
      </c>
      <c r="B848" t="s">
        <v>1207</v>
      </c>
      <c r="C848">
        <v>87</v>
      </c>
      <c r="D848" t="s">
        <v>160</v>
      </c>
      <c r="E848" s="1">
        <v>45723</v>
      </c>
      <c r="J848">
        <v>61</v>
      </c>
      <c r="K848">
        <v>71</v>
      </c>
    </row>
    <row r="849" spans="1:11" x14ac:dyDescent="0.3">
      <c r="A849" t="s">
        <v>1621</v>
      </c>
      <c r="B849" t="s">
        <v>1622</v>
      </c>
      <c r="C849">
        <v>112</v>
      </c>
      <c r="D849" t="s">
        <v>15</v>
      </c>
      <c r="E849" s="1">
        <v>45646</v>
      </c>
      <c r="J849">
        <v>44</v>
      </c>
      <c r="K849">
        <v>45</v>
      </c>
    </row>
    <row r="850" spans="1:11" x14ac:dyDescent="0.3">
      <c r="A850" t="s">
        <v>95</v>
      </c>
      <c r="B850" t="s">
        <v>96</v>
      </c>
      <c r="C850">
        <v>132</v>
      </c>
      <c r="D850" t="s">
        <v>28</v>
      </c>
      <c r="E850" s="1">
        <v>45609</v>
      </c>
      <c r="J850">
        <v>70</v>
      </c>
      <c r="K850">
        <v>70</v>
      </c>
    </row>
    <row r="851" spans="1:11" x14ac:dyDescent="0.3">
      <c r="A851" t="s">
        <v>1978</v>
      </c>
      <c r="B851" t="s">
        <v>1979</v>
      </c>
      <c r="C851">
        <v>127</v>
      </c>
      <c r="D851" t="s">
        <v>28</v>
      </c>
      <c r="E851" s="1">
        <v>45639</v>
      </c>
      <c r="J851">
        <v>35</v>
      </c>
      <c r="K851">
        <v>15</v>
      </c>
    </row>
    <row r="852" spans="1:11" x14ac:dyDescent="0.3">
      <c r="A852" t="s">
        <v>1914</v>
      </c>
      <c r="B852" t="s">
        <v>1915</v>
      </c>
      <c r="C852">
        <v>107</v>
      </c>
      <c r="D852" t="s">
        <v>15</v>
      </c>
      <c r="E852" s="1">
        <v>45621</v>
      </c>
      <c r="J852">
        <v>34</v>
      </c>
      <c r="K852">
        <v>24</v>
      </c>
    </row>
    <row r="853" spans="1:11" x14ac:dyDescent="0.3">
      <c r="A853" t="s">
        <v>1334</v>
      </c>
      <c r="B853" t="s">
        <v>1335</v>
      </c>
      <c r="C853">
        <v>97</v>
      </c>
      <c r="D853" t="s">
        <v>28</v>
      </c>
      <c r="E853" s="1">
        <v>44638</v>
      </c>
      <c r="J853">
        <v>48</v>
      </c>
      <c r="K853">
        <v>65</v>
      </c>
    </row>
    <row r="854" spans="1:11" x14ac:dyDescent="0.3">
      <c r="A854" t="s">
        <v>1442</v>
      </c>
      <c r="B854" t="s">
        <v>1443</v>
      </c>
      <c r="C854">
        <v>101</v>
      </c>
      <c r="D854" t="s">
        <v>28</v>
      </c>
      <c r="E854" s="1">
        <v>45555</v>
      </c>
      <c r="J854">
        <v>55</v>
      </c>
      <c r="K854">
        <v>57</v>
      </c>
    </row>
    <row r="855" spans="1:11" x14ac:dyDescent="0.3">
      <c r="A855" t="s">
        <v>1770</v>
      </c>
      <c r="B855" t="s">
        <v>1771</v>
      </c>
      <c r="C855">
        <v>107</v>
      </c>
      <c r="D855" t="s">
        <v>15</v>
      </c>
      <c r="E855" s="1">
        <v>45520</v>
      </c>
      <c r="J855">
        <v>44</v>
      </c>
      <c r="K855">
        <v>35</v>
      </c>
    </row>
    <row r="856" spans="1:11" x14ac:dyDescent="0.3">
      <c r="A856" t="s">
        <v>842</v>
      </c>
      <c r="B856" t="s">
        <v>843</v>
      </c>
      <c r="C856">
        <v>91</v>
      </c>
      <c r="D856" t="s">
        <v>18</v>
      </c>
      <c r="E856" s="1">
        <v>45100</v>
      </c>
      <c r="J856">
        <v>62</v>
      </c>
      <c r="K856">
        <v>84</v>
      </c>
    </row>
    <row r="857" spans="1:11" x14ac:dyDescent="0.3">
      <c r="A857" t="s">
        <v>1950</v>
      </c>
      <c r="B857" t="s">
        <v>1951</v>
      </c>
      <c r="C857">
        <v>101</v>
      </c>
      <c r="D857" t="s">
        <v>28</v>
      </c>
      <c r="E857" s="1">
        <v>45030</v>
      </c>
      <c r="J857">
        <v>42</v>
      </c>
      <c r="K857">
        <v>21</v>
      </c>
    </row>
    <row r="858" spans="1:11" x14ac:dyDescent="0.3">
      <c r="A858" t="s">
        <v>1944</v>
      </c>
      <c r="B858" t="s">
        <v>1945</v>
      </c>
      <c r="C858">
        <v>95</v>
      </c>
      <c r="D858" t="s">
        <v>28</v>
      </c>
      <c r="E858" s="1">
        <v>45114</v>
      </c>
      <c r="J858">
        <v>36</v>
      </c>
      <c r="K858">
        <v>22</v>
      </c>
    </row>
    <row r="859" spans="1:11" x14ac:dyDescent="0.3">
      <c r="A859" t="s">
        <v>1776</v>
      </c>
      <c r="B859">
        <v>65</v>
      </c>
      <c r="C859">
        <v>93</v>
      </c>
      <c r="D859" t="s">
        <v>15</v>
      </c>
      <c r="E859" s="1">
        <v>44995</v>
      </c>
      <c r="J859">
        <v>40</v>
      </c>
      <c r="K859">
        <v>35</v>
      </c>
    </row>
    <row r="860" spans="1:11" x14ac:dyDescent="0.3">
      <c r="A860" t="s">
        <v>1208</v>
      </c>
      <c r="B860" t="s">
        <v>1209</v>
      </c>
      <c r="C860">
        <v>86</v>
      </c>
      <c r="D860" t="s">
        <v>28</v>
      </c>
      <c r="E860" s="1">
        <v>45562</v>
      </c>
      <c r="J860">
        <v>52</v>
      </c>
      <c r="K860">
        <v>71</v>
      </c>
    </row>
    <row r="861" spans="1:11" x14ac:dyDescent="0.3">
      <c r="A861" t="s">
        <v>1674</v>
      </c>
      <c r="B861" t="s">
        <v>1675</v>
      </c>
      <c r="C861">
        <v>89</v>
      </c>
      <c r="D861" t="s">
        <v>28</v>
      </c>
      <c r="E861" s="1">
        <v>45582</v>
      </c>
      <c r="J861">
        <v>50</v>
      </c>
      <c r="K861">
        <v>42</v>
      </c>
    </row>
    <row r="862" spans="1:11" x14ac:dyDescent="0.3">
      <c r="A862" t="s">
        <v>1300</v>
      </c>
      <c r="B862" t="s">
        <v>1301</v>
      </c>
      <c r="C862">
        <v>104</v>
      </c>
      <c r="D862" t="s">
        <v>28</v>
      </c>
      <c r="E862" s="1">
        <v>44999</v>
      </c>
      <c r="J862">
        <v>64</v>
      </c>
      <c r="K862">
        <v>67</v>
      </c>
    </row>
    <row r="863" spans="1:11" x14ac:dyDescent="0.3">
      <c r="A863" t="s">
        <v>1922</v>
      </c>
      <c r="B863" t="s">
        <v>1923</v>
      </c>
      <c r="C863">
        <v>110</v>
      </c>
      <c r="D863" t="s">
        <v>28</v>
      </c>
      <c r="E863" s="1">
        <v>45237</v>
      </c>
      <c r="J863">
        <v>44</v>
      </c>
      <c r="K863">
        <v>24</v>
      </c>
    </row>
    <row r="864" spans="1:11" x14ac:dyDescent="0.3">
      <c r="A864" t="s">
        <v>1910</v>
      </c>
      <c r="B864" t="s">
        <v>1911</v>
      </c>
      <c r="C864">
        <v>109</v>
      </c>
      <c r="D864" t="s">
        <v>28</v>
      </c>
      <c r="E864" s="1">
        <v>44972</v>
      </c>
      <c r="J864">
        <v>41</v>
      </c>
      <c r="K864">
        <v>25</v>
      </c>
    </row>
    <row r="865" spans="1:11" x14ac:dyDescent="0.3">
      <c r="A865" t="s">
        <v>1212</v>
      </c>
      <c r="B865" t="s">
        <v>1213</v>
      </c>
      <c r="C865">
        <v>88</v>
      </c>
      <c r="D865" t="s">
        <v>28</v>
      </c>
      <c r="E865" s="1">
        <v>45401</v>
      </c>
      <c r="J865">
        <v>66</v>
      </c>
      <c r="K865">
        <v>71</v>
      </c>
    </row>
    <row r="866" spans="1:11" x14ac:dyDescent="0.3">
      <c r="A866" t="s">
        <v>1340</v>
      </c>
      <c r="B866" t="s">
        <v>1341</v>
      </c>
      <c r="C866">
        <v>84</v>
      </c>
      <c r="D866" t="s">
        <v>28</v>
      </c>
      <c r="E866" s="1">
        <v>45345</v>
      </c>
      <c r="J866">
        <v>56</v>
      </c>
      <c r="K866">
        <v>64</v>
      </c>
    </row>
    <row r="867" spans="1:11" x14ac:dyDescent="0.3">
      <c r="A867" t="s">
        <v>45</v>
      </c>
      <c r="B867" t="s">
        <v>46</v>
      </c>
      <c r="C867">
        <v>86</v>
      </c>
      <c r="D867" t="s">
        <v>18</v>
      </c>
      <c r="E867" s="1">
        <v>44673</v>
      </c>
      <c r="J867">
        <v>78</v>
      </c>
      <c r="K867">
        <v>91</v>
      </c>
    </row>
    <row r="868" spans="1:11" x14ac:dyDescent="0.3">
      <c r="A868" t="s">
        <v>1098</v>
      </c>
      <c r="B868" t="s">
        <v>1099</v>
      </c>
      <c r="C868">
        <v>129</v>
      </c>
      <c r="D868" t="s">
        <v>25</v>
      </c>
      <c r="E868" s="1">
        <v>44715</v>
      </c>
      <c r="J868">
        <v>56</v>
      </c>
      <c r="K868">
        <v>76</v>
      </c>
    </row>
    <row r="869" spans="1:11" x14ac:dyDescent="0.3">
      <c r="A869" t="s">
        <v>1934</v>
      </c>
      <c r="B869" t="s">
        <v>1935</v>
      </c>
      <c r="C869">
        <v>96</v>
      </c>
      <c r="D869" t="s">
        <v>25</v>
      </c>
      <c r="E869" s="1">
        <v>44911</v>
      </c>
      <c r="J869">
        <v>43</v>
      </c>
      <c r="K869">
        <v>23</v>
      </c>
    </row>
    <row r="870" spans="1:11" x14ac:dyDescent="0.3">
      <c r="A870" t="s">
        <v>1104</v>
      </c>
      <c r="B870" t="s">
        <v>1105</v>
      </c>
      <c r="C870">
        <v>92</v>
      </c>
      <c r="D870" t="s">
        <v>28</v>
      </c>
      <c r="E870" s="1">
        <v>45597</v>
      </c>
      <c r="J870">
        <v>59</v>
      </c>
      <c r="K870">
        <v>75</v>
      </c>
    </row>
    <row r="871" spans="1:11" x14ac:dyDescent="0.3">
      <c r="A871" t="s">
        <v>1446</v>
      </c>
      <c r="B871" t="s">
        <v>1447</v>
      </c>
      <c r="C871">
        <v>98</v>
      </c>
      <c r="D871" t="s">
        <v>28</v>
      </c>
      <c r="E871" s="1">
        <v>45017</v>
      </c>
      <c r="J871">
        <v>41</v>
      </c>
      <c r="K871">
        <v>57</v>
      </c>
    </row>
    <row r="872" spans="1:11" x14ac:dyDescent="0.3">
      <c r="A872" t="s">
        <v>1811</v>
      </c>
      <c r="B872" t="s">
        <v>1812</v>
      </c>
      <c r="C872">
        <v>90</v>
      </c>
      <c r="D872" t="s">
        <v>28</v>
      </c>
      <c r="E872" s="1">
        <v>44826</v>
      </c>
      <c r="J872">
        <v>38</v>
      </c>
      <c r="K872">
        <v>32</v>
      </c>
    </row>
    <row r="873" spans="1:11" x14ac:dyDescent="0.3">
      <c r="A873" t="s">
        <v>1980</v>
      </c>
      <c r="B873" t="s">
        <v>1981</v>
      </c>
      <c r="C873">
        <v>93</v>
      </c>
      <c r="D873" t="s">
        <v>15</v>
      </c>
      <c r="E873" s="1">
        <v>44862</v>
      </c>
      <c r="J873">
        <v>38</v>
      </c>
      <c r="K873">
        <v>15</v>
      </c>
    </row>
    <row r="874" spans="1:11" x14ac:dyDescent="0.3">
      <c r="A874" t="s">
        <v>1843</v>
      </c>
      <c r="B874" t="s">
        <v>1844</v>
      </c>
      <c r="C874">
        <v>91</v>
      </c>
      <c r="D874" t="s">
        <v>28</v>
      </c>
      <c r="E874" s="1">
        <v>45163</v>
      </c>
      <c r="J874">
        <v>43</v>
      </c>
      <c r="K874">
        <v>30</v>
      </c>
    </row>
    <row r="875" spans="1:11" x14ac:dyDescent="0.3">
      <c r="A875" t="s">
        <v>1472</v>
      </c>
      <c r="B875" t="s">
        <v>1473</v>
      </c>
      <c r="C875">
        <v>90</v>
      </c>
      <c r="D875" t="s">
        <v>160</v>
      </c>
      <c r="E875" s="1">
        <v>45252</v>
      </c>
      <c r="J875">
        <v>48</v>
      </c>
      <c r="K875">
        <v>56</v>
      </c>
    </row>
    <row r="876" spans="1:11" x14ac:dyDescent="0.3">
      <c r="A876" t="s">
        <v>1402</v>
      </c>
      <c r="B876" t="s">
        <v>1403</v>
      </c>
      <c r="C876">
        <v>104</v>
      </c>
      <c r="D876" t="s">
        <v>28</v>
      </c>
      <c r="E876" s="1">
        <v>45261</v>
      </c>
      <c r="J876">
        <v>53</v>
      </c>
      <c r="K876">
        <v>60</v>
      </c>
    </row>
    <row r="877" spans="1:11" x14ac:dyDescent="0.3">
      <c r="A877" t="s">
        <v>148</v>
      </c>
      <c r="B877" t="s">
        <v>149</v>
      </c>
      <c r="C877">
        <v>122</v>
      </c>
      <c r="D877" t="s">
        <v>15</v>
      </c>
      <c r="E877" s="1">
        <v>45401</v>
      </c>
      <c r="J877">
        <v>35</v>
      </c>
      <c r="K877">
        <v>16</v>
      </c>
    </row>
    <row r="878" spans="1:11" x14ac:dyDescent="0.3">
      <c r="A878" t="s">
        <v>1813</v>
      </c>
      <c r="B878" t="s">
        <v>1814</v>
      </c>
      <c r="C878">
        <v>105</v>
      </c>
      <c r="D878" t="s">
        <v>15</v>
      </c>
      <c r="E878" s="1">
        <v>44799</v>
      </c>
      <c r="J878">
        <v>45</v>
      </c>
      <c r="K878">
        <v>32</v>
      </c>
    </row>
    <row r="879" spans="1:11" x14ac:dyDescent="0.3">
      <c r="A879" t="s">
        <v>1849</v>
      </c>
      <c r="B879" t="s">
        <v>1850</v>
      </c>
      <c r="C879">
        <v>91</v>
      </c>
      <c r="D879" t="s">
        <v>28</v>
      </c>
      <c r="E879" s="1">
        <v>45681</v>
      </c>
      <c r="J879">
        <v>38</v>
      </c>
      <c r="K879">
        <v>29</v>
      </c>
    </row>
    <row r="880" spans="1:11" x14ac:dyDescent="0.3">
      <c r="A880" t="s">
        <v>1700</v>
      </c>
      <c r="B880" t="s">
        <v>1701</v>
      </c>
      <c r="C880">
        <v>94</v>
      </c>
      <c r="D880" t="s">
        <v>28</v>
      </c>
      <c r="E880" s="1">
        <v>45568</v>
      </c>
      <c r="J880">
        <v>45</v>
      </c>
      <c r="K880">
        <v>40</v>
      </c>
    </row>
    <row r="881" spans="1:11" x14ac:dyDescent="0.3">
      <c r="A881" t="s">
        <v>1714</v>
      </c>
      <c r="B881" t="s">
        <v>1715</v>
      </c>
      <c r="C881">
        <v>96</v>
      </c>
      <c r="D881" t="s">
        <v>15</v>
      </c>
      <c r="E881" s="1">
        <v>44778</v>
      </c>
      <c r="J881">
        <v>41</v>
      </c>
      <c r="K881">
        <v>40</v>
      </c>
    </row>
    <row r="882" spans="1:11" x14ac:dyDescent="0.3">
      <c r="A882" t="s">
        <v>1390</v>
      </c>
      <c r="B882" t="s">
        <v>1391</v>
      </c>
      <c r="C882">
        <v>95</v>
      </c>
      <c r="D882" t="s">
        <v>28</v>
      </c>
      <c r="E882" s="1">
        <v>45310</v>
      </c>
      <c r="J882">
        <v>53</v>
      </c>
      <c r="K882">
        <v>61</v>
      </c>
    </row>
    <row r="883" spans="1:11" x14ac:dyDescent="0.3">
      <c r="A883" t="s">
        <v>1706</v>
      </c>
      <c r="B883" t="s">
        <v>1707</v>
      </c>
      <c r="C883">
        <v>111</v>
      </c>
      <c r="D883" t="s">
        <v>15</v>
      </c>
      <c r="E883" s="1">
        <v>45471</v>
      </c>
      <c r="J883">
        <v>43</v>
      </c>
      <c r="K883">
        <v>40</v>
      </c>
    </row>
    <row r="884" spans="1:11" x14ac:dyDescent="0.3">
      <c r="A884" t="s">
        <v>1482</v>
      </c>
      <c r="B884" t="s">
        <v>1483</v>
      </c>
      <c r="C884">
        <v>97</v>
      </c>
      <c r="D884" t="s">
        <v>28</v>
      </c>
      <c r="E884" s="1">
        <v>44645</v>
      </c>
      <c r="J884">
        <v>56</v>
      </c>
      <c r="K884">
        <v>56</v>
      </c>
    </row>
    <row r="885" spans="1:11" x14ac:dyDescent="0.3">
      <c r="A885" t="s">
        <v>1410</v>
      </c>
      <c r="B885" t="s">
        <v>1411</v>
      </c>
      <c r="C885">
        <v>94</v>
      </c>
      <c r="D885" t="s">
        <v>28</v>
      </c>
      <c r="E885" s="1">
        <v>45730</v>
      </c>
      <c r="J885">
        <v>63</v>
      </c>
      <c r="K885">
        <v>59</v>
      </c>
    </row>
    <row r="886" spans="1:11" x14ac:dyDescent="0.3">
      <c r="A886" t="s">
        <v>918</v>
      </c>
      <c r="B886" t="s">
        <v>919</v>
      </c>
      <c r="C886">
        <v>96</v>
      </c>
      <c r="D886" t="s">
        <v>28</v>
      </c>
      <c r="E886" s="1">
        <v>44971</v>
      </c>
      <c r="J886">
        <v>53</v>
      </c>
      <c r="K886">
        <v>82</v>
      </c>
    </row>
    <row r="887" spans="1:11" x14ac:dyDescent="0.3">
      <c r="A887" t="s">
        <v>1581</v>
      </c>
      <c r="B887" t="s">
        <v>1582</v>
      </c>
      <c r="C887">
        <v>112</v>
      </c>
      <c r="D887" t="s">
        <v>28</v>
      </c>
      <c r="E887" s="1">
        <v>45308</v>
      </c>
      <c r="J887">
        <v>47</v>
      </c>
      <c r="K887">
        <v>47</v>
      </c>
    </row>
    <row r="888" spans="1:11" x14ac:dyDescent="0.3">
      <c r="A888" t="s">
        <v>1809</v>
      </c>
      <c r="B888" t="s">
        <v>1810</v>
      </c>
      <c r="C888">
        <v>96</v>
      </c>
      <c r="D888" t="s">
        <v>28</v>
      </c>
      <c r="E888" s="1">
        <v>44889</v>
      </c>
      <c r="J888">
        <v>37</v>
      </c>
      <c r="K888">
        <v>32</v>
      </c>
    </row>
    <row r="889" spans="1:11" x14ac:dyDescent="0.3">
      <c r="A889" t="s">
        <v>1066</v>
      </c>
      <c r="B889" t="s">
        <v>1067</v>
      </c>
      <c r="C889">
        <v>86</v>
      </c>
      <c r="D889" t="s">
        <v>28</v>
      </c>
      <c r="E889" s="1">
        <v>45632</v>
      </c>
      <c r="J889">
        <v>58</v>
      </c>
      <c r="K889">
        <v>76</v>
      </c>
    </row>
    <row r="890" spans="1:11" x14ac:dyDescent="0.3">
      <c r="A890" t="s">
        <v>1196</v>
      </c>
      <c r="B890" t="s">
        <v>1197</v>
      </c>
      <c r="C890">
        <v>106</v>
      </c>
      <c r="D890" t="s">
        <v>28</v>
      </c>
      <c r="E890" s="1">
        <v>44806</v>
      </c>
      <c r="J890">
        <v>63</v>
      </c>
      <c r="K890">
        <v>72</v>
      </c>
    </row>
    <row r="891" spans="1:11" x14ac:dyDescent="0.3">
      <c r="A891" t="s">
        <v>1116</v>
      </c>
      <c r="B891" t="s">
        <v>1117</v>
      </c>
      <c r="C891">
        <v>113</v>
      </c>
      <c r="D891" t="s">
        <v>28</v>
      </c>
      <c r="E891" s="1">
        <v>45361</v>
      </c>
      <c r="J891">
        <v>66</v>
      </c>
      <c r="K891">
        <v>75</v>
      </c>
    </row>
    <row r="892" spans="1:11" x14ac:dyDescent="0.3">
      <c r="A892" t="s">
        <v>1274</v>
      </c>
      <c r="B892" t="s">
        <v>1275</v>
      </c>
      <c r="C892">
        <v>86</v>
      </c>
      <c r="D892" t="s">
        <v>28</v>
      </c>
      <c r="E892" s="1">
        <v>45219</v>
      </c>
      <c r="J892">
        <v>57</v>
      </c>
      <c r="K892">
        <v>68</v>
      </c>
    </row>
    <row r="893" spans="1:11" x14ac:dyDescent="0.3">
      <c r="A893" t="s">
        <v>1756</v>
      </c>
      <c r="B893" t="s">
        <v>1757</v>
      </c>
      <c r="C893">
        <v>104</v>
      </c>
      <c r="D893" t="s">
        <v>28</v>
      </c>
      <c r="E893" s="1">
        <v>45006</v>
      </c>
      <c r="J893">
        <v>56</v>
      </c>
      <c r="K893">
        <v>37</v>
      </c>
    </row>
    <row r="894" spans="1:11" x14ac:dyDescent="0.3">
      <c r="A894" t="s">
        <v>1554</v>
      </c>
      <c r="B894">
        <v>2073</v>
      </c>
      <c r="C894">
        <v>85</v>
      </c>
      <c r="D894" t="s">
        <v>28</v>
      </c>
      <c r="E894" s="1">
        <v>45653</v>
      </c>
      <c r="J894">
        <v>52</v>
      </c>
      <c r="K894">
        <v>49</v>
      </c>
    </row>
    <row r="895" spans="1:11" x14ac:dyDescent="0.3">
      <c r="A895" t="s">
        <v>1573</v>
      </c>
      <c r="B895" t="s">
        <v>1574</v>
      </c>
      <c r="C895">
        <v>112</v>
      </c>
      <c r="D895" t="s">
        <v>28</v>
      </c>
      <c r="E895" s="1">
        <v>44967</v>
      </c>
      <c r="J895">
        <v>52</v>
      </c>
      <c r="K895">
        <v>48</v>
      </c>
    </row>
    <row r="896" spans="1:11" x14ac:dyDescent="0.3">
      <c r="A896" t="s">
        <v>1898</v>
      </c>
      <c r="B896" t="s">
        <v>1899</v>
      </c>
      <c r="C896">
        <v>101</v>
      </c>
      <c r="D896" t="s">
        <v>28</v>
      </c>
      <c r="E896" s="1">
        <v>45065</v>
      </c>
      <c r="J896">
        <v>40</v>
      </c>
      <c r="K896">
        <v>26</v>
      </c>
    </row>
    <row r="897" spans="1:11" x14ac:dyDescent="0.3">
      <c r="A897" t="s">
        <v>136</v>
      </c>
      <c r="B897" t="s">
        <v>137</v>
      </c>
      <c r="C897">
        <v>93</v>
      </c>
      <c r="D897" t="s">
        <v>28</v>
      </c>
      <c r="E897" s="1">
        <v>45317</v>
      </c>
      <c r="J897">
        <v>41</v>
      </c>
      <c r="K897">
        <v>30</v>
      </c>
    </row>
    <row r="898" spans="1:11" x14ac:dyDescent="0.3">
      <c r="A898" t="s">
        <v>1866</v>
      </c>
      <c r="B898" t="s">
        <v>1867</v>
      </c>
      <c r="C898">
        <v>112</v>
      </c>
      <c r="D898" t="s">
        <v>90</v>
      </c>
      <c r="E898" s="1">
        <v>45632</v>
      </c>
      <c r="J898">
        <v>27</v>
      </c>
      <c r="K898">
        <v>28</v>
      </c>
    </row>
    <row r="899" spans="1:11" x14ac:dyDescent="0.3">
      <c r="A899" t="s">
        <v>1694</v>
      </c>
      <c r="B899" t="s">
        <v>1695</v>
      </c>
      <c r="C899">
        <v>93</v>
      </c>
      <c r="D899" t="s">
        <v>160</v>
      </c>
      <c r="E899" s="1">
        <v>45366</v>
      </c>
      <c r="J899">
        <v>46</v>
      </c>
      <c r="K899">
        <v>41</v>
      </c>
    </row>
    <row r="900" spans="1:11" x14ac:dyDescent="0.3">
      <c r="A900" t="s">
        <v>1601</v>
      </c>
      <c r="B900" t="s">
        <v>1602</v>
      </c>
      <c r="C900">
        <v>91</v>
      </c>
      <c r="D900" t="s">
        <v>28</v>
      </c>
      <c r="E900" s="1">
        <v>45688</v>
      </c>
      <c r="J900">
        <v>52</v>
      </c>
      <c r="K900">
        <v>46</v>
      </c>
    </row>
    <row r="901" spans="1:11" x14ac:dyDescent="0.3">
      <c r="A901" t="s">
        <v>1902</v>
      </c>
      <c r="B901" t="s">
        <v>1903</v>
      </c>
      <c r="C901">
        <v>84</v>
      </c>
      <c r="D901" t="s">
        <v>15</v>
      </c>
      <c r="E901" s="1">
        <v>45534</v>
      </c>
      <c r="J901">
        <v>28</v>
      </c>
      <c r="K901">
        <v>25</v>
      </c>
    </row>
    <row r="902" spans="1:11" x14ac:dyDescent="0.3">
      <c r="A902" t="s">
        <v>1338</v>
      </c>
      <c r="B902" t="s">
        <v>1339</v>
      </c>
      <c r="C902">
        <v>104</v>
      </c>
      <c r="D902" t="s">
        <v>63</v>
      </c>
      <c r="E902" s="1">
        <v>45448</v>
      </c>
      <c r="J902">
        <v>57</v>
      </c>
      <c r="K902">
        <v>64</v>
      </c>
    </row>
    <row r="903" spans="1:11" x14ac:dyDescent="0.3">
      <c r="A903" t="s">
        <v>1126</v>
      </c>
      <c r="B903" t="s">
        <v>1127</v>
      </c>
      <c r="C903">
        <v>109</v>
      </c>
      <c r="D903" t="s">
        <v>18</v>
      </c>
      <c r="E903" s="1">
        <v>44854</v>
      </c>
      <c r="J903">
        <v>58</v>
      </c>
      <c r="K903">
        <v>75</v>
      </c>
    </row>
    <row r="904" spans="1:11" x14ac:dyDescent="0.3">
      <c r="A904" t="s">
        <v>1823</v>
      </c>
      <c r="B904" t="s">
        <v>1824</v>
      </c>
      <c r="C904">
        <v>92</v>
      </c>
      <c r="D904" t="s">
        <v>15</v>
      </c>
      <c r="E904" s="1">
        <v>45177</v>
      </c>
      <c r="J904">
        <v>35</v>
      </c>
      <c r="K904">
        <v>31</v>
      </c>
    </row>
    <row r="905" spans="1:11" x14ac:dyDescent="0.3">
      <c r="A905" t="s">
        <v>1466</v>
      </c>
      <c r="B905" t="s">
        <v>1467</v>
      </c>
      <c r="C905">
        <v>112</v>
      </c>
      <c r="D905" t="s">
        <v>28</v>
      </c>
      <c r="E905" s="1">
        <v>45597</v>
      </c>
      <c r="J905">
        <v>51</v>
      </c>
      <c r="K905">
        <v>56</v>
      </c>
    </row>
    <row r="906" spans="1:11" x14ac:dyDescent="0.3">
      <c r="A906" t="s">
        <v>1346</v>
      </c>
      <c r="B906" t="s">
        <v>1347</v>
      </c>
      <c r="C906">
        <v>99</v>
      </c>
      <c r="D906" t="s">
        <v>15</v>
      </c>
      <c r="E906" s="1">
        <v>45191</v>
      </c>
      <c r="J906">
        <v>50</v>
      </c>
      <c r="K906">
        <v>64</v>
      </c>
    </row>
    <row r="907" spans="1:11" x14ac:dyDescent="0.3">
      <c r="A907" t="s">
        <v>1964</v>
      </c>
      <c r="B907" t="s">
        <v>1965</v>
      </c>
      <c r="C907">
        <v>83</v>
      </c>
      <c r="D907" t="s">
        <v>28</v>
      </c>
      <c r="E907" s="1">
        <v>45695</v>
      </c>
      <c r="J907">
        <v>34</v>
      </c>
      <c r="K907">
        <v>18</v>
      </c>
    </row>
    <row r="908" spans="1:11" x14ac:dyDescent="0.3">
      <c r="A908" t="s">
        <v>2006</v>
      </c>
      <c r="B908" t="s">
        <v>2007</v>
      </c>
      <c r="C908">
        <v>94</v>
      </c>
      <c r="D908" t="s">
        <v>18</v>
      </c>
      <c r="E908" s="1">
        <v>44887</v>
      </c>
      <c r="J908">
        <v>43</v>
      </c>
      <c r="K908">
        <v>9</v>
      </c>
    </row>
    <row r="909" spans="1:11" x14ac:dyDescent="0.3">
      <c r="A909" t="s">
        <v>1680</v>
      </c>
      <c r="B909" t="s">
        <v>1681</v>
      </c>
      <c r="C909">
        <v>91</v>
      </c>
      <c r="D909" t="s">
        <v>28</v>
      </c>
      <c r="E909" s="1">
        <v>44967</v>
      </c>
      <c r="J909">
        <v>40</v>
      </c>
      <c r="K909">
        <v>42</v>
      </c>
    </row>
    <row r="910" spans="1:11" x14ac:dyDescent="0.3">
      <c r="A910" t="s">
        <v>1498</v>
      </c>
      <c r="B910" t="s">
        <v>1499</v>
      </c>
      <c r="C910">
        <v>87</v>
      </c>
      <c r="D910" t="s">
        <v>28</v>
      </c>
      <c r="E910" s="1">
        <v>45261</v>
      </c>
      <c r="J910">
        <v>52</v>
      </c>
      <c r="K910">
        <v>55</v>
      </c>
    </row>
    <row r="911" spans="1:11" x14ac:dyDescent="0.3">
      <c r="A911" t="s">
        <v>1593</v>
      </c>
      <c r="B911" t="s">
        <v>1594</v>
      </c>
      <c r="C911">
        <v>104</v>
      </c>
      <c r="D911" t="s">
        <v>25</v>
      </c>
      <c r="E911" s="1">
        <v>44792</v>
      </c>
      <c r="J911">
        <v>58</v>
      </c>
      <c r="K911">
        <v>47</v>
      </c>
    </row>
    <row r="912" spans="1:11" x14ac:dyDescent="0.3">
      <c r="A912" t="s">
        <v>1886</v>
      </c>
      <c r="B912" t="s">
        <v>1887</v>
      </c>
      <c r="C912">
        <v>105</v>
      </c>
      <c r="D912" t="s">
        <v>12</v>
      </c>
      <c r="E912" s="1">
        <v>44812</v>
      </c>
      <c r="J912">
        <v>38</v>
      </c>
      <c r="K912">
        <v>27</v>
      </c>
    </row>
    <row r="913" spans="1:11" x14ac:dyDescent="0.3">
      <c r="A913" t="s">
        <v>1781</v>
      </c>
      <c r="B913" t="s">
        <v>1782</v>
      </c>
      <c r="C913">
        <v>112</v>
      </c>
      <c r="D913" t="s">
        <v>28</v>
      </c>
      <c r="E913" s="1">
        <v>45534</v>
      </c>
      <c r="J913">
        <v>39</v>
      </c>
      <c r="K913">
        <v>34</v>
      </c>
    </row>
    <row r="914" spans="1:11" x14ac:dyDescent="0.3">
      <c r="A914" t="s">
        <v>2010</v>
      </c>
      <c r="B914" t="s">
        <v>2011</v>
      </c>
      <c r="C914">
        <v>101</v>
      </c>
      <c r="D914" t="s">
        <v>28</v>
      </c>
      <c r="E914" s="1">
        <v>44799</v>
      </c>
      <c r="J914">
        <v>25</v>
      </c>
      <c r="K914">
        <v>7</v>
      </c>
    </row>
    <row r="915" spans="1:11" x14ac:dyDescent="0.3">
      <c r="A915" t="s">
        <v>1290</v>
      </c>
      <c r="B915" t="s">
        <v>1291</v>
      </c>
      <c r="C915">
        <v>100</v>
      </c>
      <c r="D915" t="s">
        <v>28</v>
      </c>
      <c r="E915" s="1">
        <v>45527</v>
      </c>
      <c r="J915">
        <v>55</v>
      </c>
      <c r="K915">
        <v>67</v>
      </c>
    </row>
    <row r="916" spans="1:11" x14ac:dyDescent="0.3">
      <c r="A916" t="s">
        <v>1918</v>
      </c>
      <c r="B916" t="s">
        <v>1919</v>
      </c>
      <c r="C916">
        <v>94</v>
      </c>
      <c r="D916" t="s">
        <v>28</v>
      </c>
      <c r="E916" s="1">
        <v>45471</v>
      </c>
      <c r="J916">
        <v>44</v>
      </c>
      <c r="K916">
        <v>24</v>
      </c>
    </row>
    <row r="917" spans="1:11" x14ac:dyDescent="0.3">
      <c r="A917" t="s">
        <v>1890</v>
      </c>
      <c r="B917" t="s">
        <v>1891</v>
      </c>
      <c r="C917">
        <v>94</v>
      </c>
      <c r="D917" t="s">
        <v>28</v>
      </c>
      <c r="E917" s="1">
        <v>45709</v>
      </c>
      <c r="J917">
        <v>33</v>
      </c>
      <c r="K917">
        <v>26</v>
      </c>
    </row>
    <row r="918" spans="1:11" x14ac:dyDescent="0.3">
      <c r="A918" t="s">
        <v>1420</v>
      </c>
      <c r="B918" t="s">
        <v>1421</v>
      </c>
      <c r="C918">
        <v>87</v>
      </c>
      <c r="D918" t="s">
        <v>28</v>
      </c>
      <c r="E918" s="1">
        <v>45044</v>
      </c>
      <c r="J918">
        <v>43</v>
      </c>
      <c r="K918">
        <v>59</v>
      </c>
    </row>
    <row r="919" spans="1:11" x14ac:dyDescent="0.3">
      <c r="A919" t="s">
        <v>1028</v>
      </c>
      <c r="B919" t="s">
        <v>1029</v>
      </c>
      <c r="C919">
        <v>86</v>
      </c>
      <c r="D919" t="s">
        <v>18</v>
      </c>
      <c r="E919" s="1">
        <v>44904</v>
      </c>
      <c r="J919">
        <v>46</v>
      </c>
      <c r="K919">
        <v>78</v>
      </c>
    </row>
    <row r="920" spans="1:11" x14ac:dyDescent="0.3">
      <c r="A920" t="s">
        <v>1882</v>
      </c>
      <c r="B920" t="s">
        <v>1883</v>
      </c>
      <c r="C920">
        <v>92</v>
      </c>
      <c r="D920" t="s">
        <v>28</v>
      </c>
      <c r="E920" s="1">
        <v>44936</v>
      </c>
      <c r="J920">
        <v>42</v>
      </c>
      <c r="K920">
        <v>27</v>
      </c>
    </row>
    <row r="921" spans="1:11" x14ac:dyDescent="0.3">
      <c r="A921" t="s">
        <v>1633</v>
      </c>
      <c r="B921" t="s">
        <v>1634</v>
      </c>
      <c r="C921">
        <v>99</v>
      </c>
      <c r="D921" t="s">
        <v>28</v>
      </c>
      <c r="E921" s="1">
        <v>44610</v>
      </c>
      <c r="J921">
        <v>52</v>
      </c>
      <c r="K921">
        <v>45</v>
      </c>
    </row>
    <row r="922" spans="1:11" x14ac:dyDescent="0.3">
      <c r="A922" t="s">
        <v>1912</v>
      </c>
      <c r="B922" t="s">
        <v>1913</v>
      </c>
      <c r="C922">
        <v>101</v>
      </c>
      <c r="D922" t="s">
        <v>28</v>
      </c>
      <c r="E922" s="1">
        <v>45723</v>
      </c>
      <c r="J922">
        <v>41</v>
      </c>
      <c r="K922">
        <v>24</v>
      </c>
    </row>
    <row r="923" spans="1:11" x14ac:dyDescent="0.3">
      <c r="A923" t="s">
        <v>1712</v>
      </c>
      <c r="B923" t="s">
        <v>1713</v>
      </c>
      <c r="C923">
        <v>111</v>
      </c>
      <c r="D923" t="s">
        <v>28</v>
      </c>
      <c r="E923" s="1">
        <v>44848</v>
      </c>
      <c r="J923">
        <v>47</v>
      </c>
      <c r="K923">
        <v>40</v>
      </c>
    </row>
    <row r="924" spans="1:11" x14ac:dyDescent="0.3">
      <c r="A924" t="s">
        <v>132</v>
      </c>
      <c r="B924" t="s">
        <v>133</v>
      </c>
      <c r="C924">
        <v>106</v>
      </c>
      <c r="D924" t="s">
        <v>15</v>
      </c>
      <c r="E924" s="1">
        <v>45736</v>
      </c>
      <c r="J924">
        <v>41</v>
      </c>
      <c r="K924">
        <v>38</v>
      </c>
    </row>
    <row r="925" spans="1:11" x14ac:dyDescent="0.3">
      <c r="A925" t="s">
        <v>1892</v>
      </c>
      <c r="B925" t="s">
        <v>1893</v>
      </c>
      <c r="C925">
        <v>91</v>
      </c>
      <c r="D925" t="s">
        <v>90</v>
      </c>
      <c r="E925" s="1">
        <v>45595</v>
      </c>
      <c r="J925">
        <v>36</v>
      </c>
      <c r="K925">
        <v>26</v>
      </c>
    </row>
    <row r="926" spans="1:11" x14ac:dyDescent="0.3">
      <c r="A926" t="s">
        <v>1833</v>
      </c>
      <c r="B926" t="s">
        <v>1834</v>
      </c>
      <c r="C926">
        <v>95</v>
      </c>
      <c r="D926" t="s">
        <v>15</v>
      </c>
      <c r="E926" s="1">
        <v>44953</v>
      </c>
      <c r="J926">
        <v>42</v>
      </c>
      <c r="K926">
        <v>31</v>
      </c>
    </row>
    <row r="927" spans="1:11" x14ac:dyDescent="0.3">
      <c r="A927" t="s">
        <v>1829</v>
      </c>
      <c r="B927" t="s">
        <v>1830</v>
      </c>
      <c r="C927">
        <v>96</v>
      </c>
      <c r="D927" t="s">
        <v>15</v>
      </c>
      <c r="E927" s="1">
        <v>45023</v>
      </c>
      <c r="J927">
        <v>45</v>
      </c>
      <c r="K927">
        <v>31</v>
      </c>
    </row>
    <row r="928" spans="1:11" x14ac:dyDescent="0.3">
      <c r="A928" t="s">
        <v>1777</v>
      </c>
      <c r="B928" t="s">
        <v>1778</v>
      </c>
      <c r="C928">
        <v>110</v>
      </c>
      <c r="D928" t="s">
        <v>18</v>
      </c>
      <c r="E928" s="1">
        <v>44819</v>
      </c>
      <c r="J928">
        <v>49</v>
      </c>
      <c r="K928">
        <v>35</v>
      </c>
    </row>
    <row r="929" spans="1:11" x14ac:dyDescent="0.3">
      <c r="A929" t="s">
        <v>1508</v>
      </c>
      <c r="B929" t="s">
        <v>1509</v>
      </c>
      <c r="C929">
        <v>100</v>
      </c>
      <c r="D929" t="s">
        <v>63</v>
      </c>
      <c r="E929" s="1">
        <v>45317</v>
      </c>
      <c r="J929">
        <v>47</v>
      </c>
      <c r="K929">
        <v>54</v>
      </c>
    </row>
    <row r="930" spans="1:11" x14ac:dyDescent="0.3">
      <c r="A930" t="s">
        <v>1068</v>
      </c>
      <c r="B930" t="s">
        <v>1069</v>
      </c>
      <c r="C930">
        <v>104</v>
      </c>
      <c r="D930" t="s">
        <v>28</v>
      </c>
      <c r="E930" s="1">
        <v>45632</v>
      </c>
      <c r="J930">
        <v>69</v>
      </c>
      <c r="K930">
        <v>76</v>
      </c>
    </row>
    <row r="931" spans="1:11" x14ac:dyDescent="0.3">
      <c r="A931" t="s">
        <v>1528</v>
      </c>
      <c r="B931" t="s">
        <v>1529</v>
      </c>
      <c r="C931">
        <v>97</v>
      </c>
      <c r="D931" t="s">
        <v>28</v>
      </c>
      <c r="E931" s="1">
        <v>45709</v>
      </c>
      <c r="J931">
        <v>52</v>
      </c>
      <c r="K931">
        <v>51</v>
      </c>
    </row>
    <row r="932" spans="1:11" x14ac:dyDescent="0.3">
      <c r="A932" t="s">
        <v>1888</v>
      </c>
      <c r="B932" t="s">
        <v>1889</v>
      </c>
      <c r="C932">
        <v>84</v>
      </c>
      <c r="D932" t="s">
        <v>15</v>
      </c>
      <c r="E932" s="1">
        <v>44617</v>
      </c>
      <c r="J932">
        <v>35</v>
      </c>
      <c r="K932">
        <v>27</v>
      </c>
    </row>
    <row r="933" spans="1:11" x14ac:dyDescent="0.3">
      <c r="A933" t="s">
        <v>1864</v>
      </c>
      <c r="B933" t="s">
        <v>1865</v>
      </c>
      <c r="C933">
        <v>97</v>
      </c>
      <c r="D933" t="s">
        <v>28</v>
      </c>
      <c r="E933" s="1">
        <v>45693</v>
      </c>
      <c r="J933">
        <v>38</v>
      </c>
      <c r="K933">
        <v>28</v>
      </c>
    </row>
    <row r="934" spans="1:11" x14ac:dyDescent="0.3">
      <c r="A934" t="s">
        <v>1768</v>
      </c>
      <c r="B934" t="s">
        <v>1769</v>
      </c>
      <c r="C934">
        <v>99</v>
      </c>
      <c r="D934" t="s">
        <v>63</v>
      </c>
      <c r="E934" s="1">
        <v>45569</v>
      </c>
      <c r="J934">
        <v>45</v>
      </c>
      <c r="K934">
        <v>35</v>
      </c>
    </row>
    <row r="935" spans="1:11" x14ac:dyDescent="0.3">
      <c r="A935" t="s">
        <v>1643</v>
      </c>
      <c r="B935" t="s">
        <v>1644</v>
      </c>
      <c r="C935">
        <v>90</v>
      </c>
      <c r="D935" t="s">
        <v>28</v>
      </c>
      <c r="E935" s="1">
        <v>44621</v>
      </c>
      <c r="J935">
        <v>52</v>
      </c>
      <c r="K935">
        <v>44</v>
      </c>
    </row>
    <row r="936" spans="1:11" x14ac:dyDescent="0.3">
      <c r="A936" t="s">
        <v>1550</v>
      </c>
      <c r="B936" t="s">
        <v>1551</v>
      </c>
      <c r="C936">
        <v>92</v>
      </c>
      <c r="D936" t="s">
        <v>28</v>
      </c>
      <c r="E936" s="1">
        <v>44893</v>
      </c>
      <c r="J936">
        <v>53</v>
      </c>
      <c r="K936">
        <v>50</v>
      </c>
    </row>
    <row r="937" spans="1:11" x14ac:dyDescent="0.3">
      <c r="A937" t="s">
        <v>1972</v>
      </c>
      <c r="B937" t="s">
        <v>1973</v>
      </c>
      <c r="C937">
        <v>92</v>
      </c>
      <c r="D937" t="s">
        <v>15</v>
      </c>
      <c r="E937" s="1">
        <v>45415</v>
      </c>
      <c r="J937">
        <v>36</v>
      </c>
      <c r="K937">
        <v>17</v>
      </c>
    </row>
    <row r="938" spans="1:11" x14ac:dyDescent="0.3">
      <c r="A938" t="s">
        <v>1954</v>
      </c>
      <c r="B938" t="s">
        <v>1955</v>
      </c>
      <c r="C938">
        <v>92</v>
      </c>
      <c r="D938" t="s">
        <v>28</v>
      </c>
      <c r="E938" s="1">
        <v>45409</v>
      </c>
      <c r="J938">
        <v>46</v>
      </c>
      <c r="K938">
        <v>20</v>
      </c>
    </row>
    <row r="939" spans="1:11" x14ac:dyDescent="0.3">
      <c r="A939" t="s">
        <v>1994</v>
      </c>
      <c r="B939" t="s">
        <v>1995</v>
      </c>
      <c r="C939">
        <v>104</v>
      </c>
      <c r="D939" t="s">
        <v>15</v>
      </c>
      <c r="E939" s="1">
        <v>44603</v>
      </c>
      <c r="J939">
        <v>27</v>
      </c>
      <c r="K939">
        <v>12</v>
      </c>
    </row>
    <row r="940" spans="1:11" x14ac:dyDescent="0.3">
      <c r="A940" t="s">
        <v>1988</v>
      </c>
      <c r="B940" t="s">
        <v>1989</v>
      </c>
      <c r="C940">
        <v>103</v>
      </c>
      <c r="D940" t="s">
        <v>28</v>
      </c>
      <c r="E940" s="1">
        <v>45191</v>
      </c>
      <c r="J940">
        <v>30</v>
      </c>
      <c r="K940">
        <v>14</v>
      </c>
    </row>
    <row r="941" spans="1:11" x14ac:dyDescent="0.3">
      <c r="A941" t="s">
        <v>1992</v>
      </c>
      <c r="B941" t="s">
        <v>1993</v>
      </c>
      <c r="C941">
        <v>88</v>
      </c>
      <c r="D941" t="s">
        <v>160</v>
      </c>
      <c r="E941" s="1">
        <v>45421</v>
      </c>
      <c r="J941">
        <v>39</v>
      </c>
      <c r="K941">
        <v>13</v>
      </c>
    </row>
    <row r="942" spans="1:11" x14ac:dyDescent="0.3">
      <c r="A942" t="s">
        <v>1868</v>
      </c>
      <c r="B942" t="s">
        <v>1869</v>
      </c>
      <c r="C942">
        <v>98</v>
      </c>
      <c r="D942" t="s">
        <v>28</v>
      </c>
      <c r="E942" s="1">
        <v>45499</v>
      </c>
      <c r="J942">
        <v>44</v>
      </c>
      <c r="K942">
        <v>28</v>
      </c>
    </row>
    <row r="943" spans="1:11" x14ac:dyDescent="0.3">
      <c r="A943" t="s">
        <v>1942</v>
      </c>
      <c r="B943" t="s">
        <v>1943</v>
      </c>
      <c r="C943">
        <v>111</v>
      </c>
      <c r="D943" t="s">
        <v>28</v>
      </c>
      <c r="E943" s="1">
        <v>45205</v>
      </c>
      <c r="J943">
        <v>39</v>
      </c>
      <c r="K943">
        <v>22</v>
      </c>
    </row>
    <row r="944" spans="1:11" x14ac:dyDescent="0.3">
      <c r="A944" t="s">
        <v>1720</v>
      </c>
      <c r="B944" t="s">
        <v>1721</v>
      </c>
      <c r="C944">
        <v>87</v>
      </c>
      <c r="D944" t="s">
        <v>90</v>
      </c>
      <c r="E944" s="1">
        <v>45616</v>
      </c>
      <c r="J944">
        <v>34</v>
      </c>
      <c r="K944">
        <v>39</v>
      </c>
    </row>
    <row r="945" spans="1:11" x14ac:dyDescent="0.3">
      <c r="A945" t="s">
        <v>140</v>
      </c>
      <c r="B945" t="s">
        <v>141</v>
      </c>
      <c r="C945">
        <v>94</v>
      </c>
      <c r="D945" t="s">
        <v>15</v>
      </c>
      <c r="E945" s="1">
        <v>44785</v>
      </c>
      <c r="J945">
        <v>49</v>
      </c>
      <c r="K945">
        <v>24</v>
      </c>
    </row>
    <row r="946" spans="1:11" x14ac:dyDescent="0.3">
      <c r="A946" t="s">
        <v>1692</v>
      </c>
      <c r="B946" t="s">
        <v>1693</v>
      </c>
      <c r="C946">
        <v>85</v>
      </c>
      <c r="D946" t="s">
        <v>28</v>
      </c>
      <c r="E946" s="1">
        <v>45394</v>
      </c>
      <c r="J946">
        <v>55</v>
      </c>
      <c r="K946">
        <v>41</v>
      </c>
    </row>
    <row r="947" spans="1:11" x14ac:dyDescent="0.3">
      <c r="A947" t="s">
        <v>1672</v>
      </c>
      <c r="B947" t="s">
        <v>1673</v>
      </c>
      <c r="C947">
        <v>91</v>
      </c>
      <c r="D947" t="s">
        <v>28</v>
      </c>
      <c r="E947" s="1">
        <v>45632</v>
      </c>
      <c r="J947">
        <v>49</v>
      </c>
      <c r="K947">
        <v>42</v>
      </c>
    </row>
    <row r="948" spans="1:11" x14ac:dyDescent="0.3">
      <c r="A948" t="s">
        <v>1536</v>
      </c>
      <c r="B948" t="s">
        <v>1537</v>
      </c>
      <c r="C948">
        <v>103</v>
      </c>
      <c r="D948" t="s">
        <v>28</v>
      </c>
      <c r="E948" s="1">
        <v>45233</v>
      </c>
      <c r="J948">
        <v>59</v>
      </c>
      <c r="K948">
        <v>51</v>
      </c>
    </row>
    <row r="949" spans="1:11" x14ac:dyDescent="0.3">
      <c r="A949" t="s">
        <v>1789</v>
      </c>
      <c r="B949" t="s">
        <v>1790</v>
      </c>
      <c r="C949">
        <v>99</v>
      </c>
      <c r="D949" t="s">
        <v>15</v>
      </c>
      <c r="E949" s="1">
        <v>45674</v>
      </c>
      <c r="J949">
        <v>50</v>
      </c>
      <c r="K949">
        <v>33</v>
      </c>
    </row>
    <row r="950" spans="1:11" x14ac:dyDescent="0.3">
      <c r="A950" t="s">
        <v>1597</v>
      </c>
      <c r="B950" t="s">
        <v>1598</v>
      </c>
      <c r="C950">
        <v>99</v>
      </c>
      <c r="D950" t="s">
        <v>63</v>
      </c>
      <c r="E950" s="1">
        <v>44715</v>
      </c>
      <c r="J950">
        <v>51</v>
      </c>
      <c r="K950">
        <v>47</v>
      </c>
    </row>
    <row r="951" spans="1:11" x14ac:dyDescent="0.3">
      <c r="A951" t="s">
        <v>1906</v>
      </c>
      <c r="B951" t="s">
        <v>1907</v>
      </c>
      <c r="C951">
        <v>104</v>
      </c>
      <c r="D951" t="s">
        <v>15</v>
      </c>
      <c r="E951" s="1">
        <v>45359</v>
      </c>
      <c r="J951">
        <v>34</v>
      </c>
      <c r="K951">
        <v>25</v>
      </c>
    </row>
    <row r="952" spans="1:11" x14ac:dyDescent="0.3">
      <c r="A952" t="s">
        <v>663</v>
      </c>
      <c r="B952" t="s">
        <v>664</v>
      </c>
      <c r="C952">
        <v>111</v>
      </c>
      <c r="D952" t="s">
        <v>28</v>
      </c>
      <c r="E952" s="1">
        <v>45527</v>
      </c>
      <c r="J952">
        <v>30</v>
      </c>
      <c r="K952">
        <v>88</v>
      </c>
    </row>
    <row r="953" spans="1:11" x14ac:dyDescent="0.3">
      <c r="A953" t="s">
        <v>120</v>
      </c>
      <c r="B953" t="s">
        <v>121</v>
      </c>
      <c r="C953">
        <v>93</v>
      </c>
      <c r="D953" t="s">
        <v>18</v>
      </c>
      <c r="E953" s="1">
        <v>45469</v>
      </c>
      <c r="J953">
        <v>27</v>
      </c>
      <c r="K953">
        <v>47</v>
      </c>
    </row>
    <row r="954" spans="1:11" x14ac:dyDescent="0.3">
      <c r="A954" t="s">
        <v>1986</v>
      </c>
      <c r="B954" t="s">
        <v>1987</v>
      </c>
      <c r="C954">
        <v>100</v>
      </c>
      <c r="D954" t="s">
        <v>15</v>
      </c>
      <c r="E954" s="1">
        <v>45548</v>
      </c>
      <c r="J954">
        <v>34</v>
      </c>
      <c r="K954">
        <v>14</v>
      </c>
    </row>
    <row r="955" spans="1:11" x14ac:dyDescent="0.3">
      <c r="A955" t="s">
        <v>1998</v>
      </c>
      <c r="B955" t="s">
        <v>1999</v>
      </c>
      <c r="C955">
        <v>101</v>
      </c>
      <c r="D955" t="s">
        <v>15</v>
      </c>
      <c r="E955" s="1">
        <v>45513</v>
      </c>
      <c r="J955">
        <v>26</v>
      </c>
      <c r="K955">
        <v>10</v>
      </c>
    </row>
    <row r="956" spans="1:11" x14ac:dyDescent="0.3">
      <c r="A956" t="s">
        <v>1962</v>
      </c>
      <c r="B956" t="s">
        <v>1963</v>
      </c>
      <c r="C956">
        <v>98</v>
      </c>
      <c r="D956" t="s">
        <v>15</v>
      </c>
      <c r="E956" s="1">
        <v>45296</v>
      </c>
      <c r="J956">
        <v>43</v>
      </c>
      <c r="K956">
        <v>19</v>
      </c>
    </row>
    <row r="957" spans="1:11" x14ac:dyDescent="0.3">
      <c r="A957" t="s">
        <v>1336</v>
      </c>
      <c r="B957" t="s">
        <v>1337</v>
      </c>
      <c r="C957">
        <v>86</v>
      </c>
      <c r="D957" t="s">
        <v>28</v>
      </c>
      <c r="E957" s="1">
        <v>45540</v>
      </c>
      <c r="J957">
        <v>68</v>
      </c>
      <c r="K957">
        <v>64</v>
      </c>
    </row>
    <row r="958" spans="1:11" x14ac:dyDescent="0.3">
      <c r="A958" t="s">
        <v>852</v>
      </c>
      <c r="B958" t="s">
        <v>853</v>
      </c>
      <c r="C958">
        <v>94</v>
      </c>
      <c r="D958" t="s">
        <v>25</v>
      </c>
      <c r="E958" s="1">
        <v>45702</v>
      </c>
      <c r="J958">
        <v>53</v>
      </c>
      <c r="K958">
        <v>83</v>
      </c>
    </row>
    <row r="959" spans="1:11" x14ac:dyDescent="0.3">
      <c r="A959" t="s">
        <v>1817</v>
      </c>
      <c r="B959" t="s">
        <v>1818</v>
      </c>
      <c r="C959">
        <v>83</v>
      </c>
      <c r="D959" t="s">
        <v>15</v>
      </c>
      <c r="E959" s="1">
        <v>44638</v>
      </c>
      <c r="J959">
        <v>51</v>
      </c>
      <c r="K959">
        <v>32</v>
      </c>
    </row>
    <row r="960" spans="1:11" x14ac:dyDescent="0.3">
      <c r="A960" t="s">
        <v>1164</v>
      </c>
      <c r="B960" t="s">
        <v>1165</v>
      </c>
      <c r="C960">
        <v>100</v>
      </c>
      <c r="D960" t="s">
        <v>18</v>
      </c>
      <c r="E960" s="1">
        <v>44959</v>
      </c>
      <c r="J960">
        <v>66</v>
      </c>
      <c r="K960">
        <v>73</v>
      </c>
    </row>
    <row r="961" spans="1:11" x14ac:dyDescent="0.3">
      <c r="A961" t="s">
        <v>1603</v>
      </c>
      <c r="B961" t="s">
        <v>1604</v>
      </c>
      <c r="C961">
        <v>138</v>
      </c>
      <c r="D961" t="s">
        <v>28</v>
      </c>
      <c r="E961" s="1">
        <v>45562</v>
      </c>
      <c r="J961">
        <v>55</v>
      </c>
      <c r="K961">
        <v>46</v>
      </c>
    </row>
    <row r="962" spans="1:11" x14ac:dyDescent="0.3">
      <c r="A962" t="s">
        <v>1837</v>
      </c>
      <c r="B962" t="s">
        <v>1838</v>
      </c>
      <c r="C962">
        <v>81</v>
      </c>
      <c r="D962" t="s">
        <v>28</v>
      </c>
      <c r="E962" s="1">
        <v>44610</v>
      </c>
      <c r="J962">
        <v>34</v>
      </c>
      <c r="K962">
        <v>31</v>
      </c>
    </row>
    <row r="963" spans="1:11" x14ac:dyDescent="0.3">
      <c r="A963" t="s">
        <v>1938</v>
      </c>
      <c r="B963" t="s">
        <v>1939</v>
      </c>
      <c r="C963">
        <v>90</v>
      </c>
      <c r="D963" t="s">
        <v>28</v>
      </c>
      <c r="E963" s="1">
        <v>45317</v>
      </c>
      <c r="J963">
        <v>45</v>
      </c>
      <c r="K963">
        <v>22</v>
      </c>
    </row>
    <row r="964" spans="1:11" x14ac:dyDescent="0.3">
      <c r="A964" t="s">
        <v>142</v>
      </c>
      <c r="B964" t="s">
        <v>143</v>
      </c>
      <c r="C964">
        <v>98</v>
      </c>
      <c r="D964" t="s">
        <v>28</v>
      </c>
      <c r="E964" s="1">
        <v>45058</v>
      </c>
      <c r="J964">
        <v>27</v>
      </c>
      <c r="K964">
        <v>22</v>
      </c>
    </row>
    <row r="965" spans="1:11" x14ac:dyDescent="0.3">
      <c r="A965" t="s">
        <v>1960</v>
      </c>
      <c r="B965" t="s">
        <v>1961</v>
      </c>
      <c r="C965">
        <v>126</v>
      </c>
      <c r="D965" t="s">
        <v>28</v>
      </c>
      <c r="E965" s="1">
        <v>44652</v>
      </c>
      <c r="J965">
        <v>34</v>
      </c>
      <c r="K965">
        <v>20</v>
      </c>
    </row>
    <row r="966" spans="1:11" x14ac:dyDescent="0.3">
      <c r="A966" t="s">
        <v>1880</v>
      </c>
      <c r="B966" t="s">
        <v>1881</v>
      </c>
      <c r="C966">
        <v>111</v>
      </c>
      <c r="D966" t="s">
        <v>28</v>
      </c>
      <c r="E966" s="1">
        <v>44939</v>
      </c>
      <c r="J966">
        <v>37</v>
      </c>
      <c r="K966">
        <v>27</v>
      </c>
    </row>
    <row r="967" spans="1:11" x14ac:dyDescent="0.3">
      <c r="A967" t="s">
        <v>1764</v>
      </c>
      <c r="B967" t="s">
        <v>1765</v>
      </c>
      <c r="C967">
        <v>107</v>
      </c>
      <c r="D967" t="s">
        <v>12</v>
      </c>
      <c r="E967" s="1">
        <v>44638</v>
      </c>
      <c r="J967">
        <v>42</v>
      </c>
      <c r="K967">
        <v>36</v>
      </c>
    </row>
    <row r="968" spans="1:11" x14ac:dyDescent="0.3">
      <c r="A968" t="s">
        <v>1952</v>
      </c>
      <c r="B968" t="s">
        <v>1953</v>
      </c>
      <c r="C968">
        <v>106</v>
      </c>
      <c r="D968" t="s">
        <v>63</v>
      </c>
      <c r="E968" s="1">
        <v>45464</v>
      </c>
      <c r="J968">
        <v>36</v>
      </c>
      <c r="K968">
        <v>20</v>
      </c>
    </row>
    <row r="969" spans="1:11" x14ac:dyDescent="0.3">
      <c r="A969" t="s">
        <v>1946</v>
      </c>
      <c r="B969" t="s">
        <v>1947</v>
      </c>
      <c r="C969">
        <v>91</v>
      </c>
      <c r="D969" t="s">
        <v>28</v>
      </c>
      <c r="E969" s="1">
        <v>45429</v>
      </c>
      <c r="J969">
        <v>43</v>
      </c>
      <c r="K969">
        <v>21</v>
      </c>
    </row>
    <row r="970" spans="1:11" x14ac:dyDescent="0.3">
      <c r="A970" t="s">
        <v>2004</v>
      </c>
      <c r="B970" t="s">
        <v>2005</v>
      </c>
      <c r="C970">
        <v>94</v>
      </c>
      <c r="D970" t="s">
        <v>28</v>
      </c>
      <c r="E970" s="1">
        <v>44694</v>
      </c>
      <c r="J970">
        <v>32</v>
      </c>
      <c r="K970">
        <v>10</v>
      </c>
    </row>
    <row r="971" spans="1:11" x14ac:dyDescent="0.3">
      <c r="A971" t="s">
        <v>1702</v>
      </c>
      <c r="B971" t="s">
        <v>1703</v>
      </c>
      <c r="C971">
        <v>94</v>
      </c>
      <c r="D971" t="s">
        <v>28</v>
      </c>
      <c r="E971" s="1">
        <v>45541</v>
      </c>
      <c r="J971">
        <v>49</v>
      </c>
      <c r="K971">
        <v>40</v>
      </c>
    </row>
    <row r="972" spans="1:11" x14ac:dyDescent="0.3">
      <c r="A972" t="s">
        <v>1500</v>
      </c>
      <c r="B972" t="s">
        <v>1501</v>
      </c>
      <c r="C972">
        <v>109</v>
      </c>
      <c r="D972" t="s">
        <v>12</v>
      </c>
      <c r="E972" s="1">
        <v>44831</v>
      </c>
      <c r="J972">
        <v>57</v>
      </c>
      <c r="K972">
        <v>55</v>
      </c>
    </row>
    <row r="973" spans="1:11" x14ac:dyDescent="0.3">
      <c r="A973" t="s">
        <v>2008</v>
      </c>
      <c r="B973" t="s">
        <v>2009</v>
      </c>
      <c r="C973">
        <v>95</v>
      </c>
      <c r="D973" t="s">
        <v>15</v>
      </c>
      <c r="E973" s="1">
        <v>45443</v>
      </c>
      <c r="J973">
        <v>41</v>
      </c>
      <c r="K973">
        <v>8</v>
      </c>
    </row>
    <row r="974" spans="1:11" x14ac:dyDescent="0.3">
      <c r="A974" t="s">
        <v>1736</v>
      </c>
      <c r="B974" t="s">
        <v>1737</v>
      </c>
      <c r="C974">
        <v>99</v>
      </c>
      <c r="D974" t="s">
        <v>28</v>
      </c>
      <c r="E974" s="1">
        <v>45573</v>
      </c>
      <c r="J974">
        <v>44</v>
      </c>
      <c r="K974">
        <v>38</v>
      </c>
    </row>
    <row r="975" spans="1:11" x14ac:dyDescent="0.3">
      <c r="A975" t="s">
        <v>1595</v>
      </c>
      <c r="B975" t="s">
        <v>1596</v>
      </c>
      <c r="C975">
        <v>80</v>
      </c>
      <c r="D975" t="s">
        <v>28</v>
      </c>
      <c r="E975" s="1">
        <v>44715</v>
      </c>
      <c r="J975">
        <v>48</v>
      </c>
      <c r="K975">
        <v>47</v>
      </c>
    </row>
    <row r="976" spans="1:11" x14ac:dyDescent="0.3">
      <c r="A976" t="s">
        <v>1783</v>
      </c>
      <c r="B976" t="s">
        <v>1784</v>
      </c>
      <c r="C976">
        <v>104</v>
      </c>
      <c r="D976" t="s">
        <v>28</v>
      </c>
      <c r="E976" s="1">
        <v>45079</v>
      </c>
      <c r="J976">
        <v>41</v>
      </c>
      <c r="K976">
        <v>34</v>
      </c>
    </row>
    <row r="977" spans="1:11" x14ac:dyDescent="0.3">
      <c r="A977" t="s">
        <v>1948</v>
      </c>
      <c r="B977" t="s">
        <v>1949</v>
      </c>
      <c r="C977">
        <v>112</v>
      </c>
      <c r="D977" t="s">
        <v>15</v>
      </c>
      <c r="E977" s="1">
        <v>45058</v>
      </c>
      <c r="J977">
        <v>35</v>
      </c>
      <c r="K977">
        <v>21</v>
      </c>
    </row>
    <row r="978" spans="1:11" x14ac:dyDescent="0.3">
      <c r="A978" t="s">
        <v>1557</v>
      </c>
      <c r="B978" t="s">
        <v>1558</v>
      </c>
      <c r="C978">
        <v>93</v>
      </c>
      <c r="D978" t="s">
        <v>28</v>
      </c>
      <c r="E978" s="1">
        <v>45632</v>
      </c>
      <c r="J978">
        <v>46</v>
      </c>
      <c r="K978">
        <v>49</v>
      </c>
    </row>
    <row r="979" spans="1:11" x14ac:dyDescent="0.3">
      <c r="A979" t="s">
        <v>1857</v>
      </c>
      <c r="B979" t="s">
        <v>1858</v>
      </c>
      <c r="C979">
        <v>100</v>
      </c>
      <c r="D979" t="s">
        <v>28</v>
      </c>
      <c r="E979" s="1">
        <v>44939</v>
      </c>
      <c r="J979">
        <v>41</v>
      </c>
      <c r="K979">
        <v>29</v>
      </c>
    </row>
    <row r="980" spans="1:11" x14ac:dyDescent="0.3">
      <c r="A980" t="s">
        <v>1360</v>
      </c>
      <c r="B980" t="s">
        <v>1361</v>
      </c>
      <c r="C980">
        <v>106</v>
      </c>
      <c r="D980" t="s">
        <v>12</v>
      </c>
      <c r="E980" s="1">
        <v>45044</v>
      </c>
      <c r="J980">
        <v>61</v>
      </c>
      <c r="K980">
        <v>63</v>
      </c>
    </row>
    <row r="981" spans="1:11" x14ac:dyDescent="0.3">
      <c r="A981" t="s">
        <v>1785</v>
      </c>
      <c r="B981" t="s">
        <v>1786</v>
      </c>
      <c r="C981">
        <v>85</v>
      </c>
      <c r="D981" t="s">
        <v>15</v>
      </c>
      <c r="E981" s="1">
        <v>44837</v>
      </c>
      <c r="J981">
        <v>50</v>
      </c>
      <c r="K981">
        <v>34</v>
      </c>
    </row>
    <row r="982" spans="1:11" x14ac:dyDescent="0.3">
      <c r="A982" t="s">
        <v>1872</v>
      </c>
      <c r="B982" t="s">
        <v>1873</v>
      </c>
      <c r="C982">
        <v>104</v>
      </c>
      <c r="D982" t="s">
        <v>28</v>
      </c>
      <c r="E982" s="1">
        <v>45637</v>
      </c>
      <c r="J982">
        <v>42</v>
      </c>
      <c r="K982">
        <v>27</v>
      </c>
    </row>
    <row r="983" spans="1:11" x14ac:dyDescent="0.3">
      <c r="A983" t="s">
        <v>1958</v>
      </c>
      <c r="B983" t="s">
        <v>1959</v>
      </c>
      <c r="C983">
        <v>104</v>
      </c>
      <c r="D983" t="s">
        <v>28</v>
      </c>
      <c r="E983" s="1">
        <v>44799</v>
      </c>
      <c r="J983">
        <v>39</v>
      </c>
      <c r="K983">
        <v>20</v>
      </c>
    </row>
    <row r="984" spans="1:11" x14ac:dyDescent="0.3">
      <c r="A984" t="s">
        <v>1704</v>
      </c>
      <c r="B984" t="s">
        <v>1705</v>
      </c>
      <c r="C984">
        <v>97</v>
      </c>
      <c r="D984" t="s">
        <v>28</v>
      </c>
      <c r="E984" s="1">
        <v>45499</v>
      </c>
      <c r="J984">
        <v>43</v>
      </c>
      <c r="K984">
        <v>40</v>
      </c>
    </row>
    <row r="985" spans="1:11" x14ac:dyDescent="0.3">
      <c r="A985" t="s">
        <v>1968</v>
      </c>
      <c r="B985" t="s">
        <v>1969</v>
      </c>
      <c r="C985">
        <v>120</v>
      </c>
      <c r="D985" t="s">
        <v>28</v>
      </c>
      <c r="E985" s="1">
        <v>45345</v>
      </c>
      <c r="J985">
        <v>33</v>
      </c>
      <c r="K985">
        <v>18</v>
      </c>
    </row>
    <row r="986" spans="1:11" x14ac:dyDescent="0.3">
      <c r="A986" t="s">
        <v>1908</v>
      </c>
      <c r="B986" t="s">
        <v>1909</v>
      </c>
      <c r="C986">
        <v>117</v>
      </c>
      <c r="D986" t="s">
        <v>28</v>
      </c>
      <c r="E986" s="1">
        <v>45156</v>
      </c>
      <c r="J986">
        <v>48</v>
      </c>
      <c r="K986">
        <v>25</v>
      </c>
    </row>
    <row r="987" spans="1:11" x14ac:dyDescent="0.3">
      <c r="A987" t="s">
        <v>1894</v>
      </c>
      <c r="B987" t="s">
        <v>1895</v>
      </c>
      <c r="C987">
        <v>95</v>
      </c>
      <c r="D987" t="s">
        <v>28</v>
      </c>
      <c r="E987" s="1">
        <v>45464</v>
      </c>
      <c r="J987">
        <v>46</v>
      </c>
      <c r="K987">
        <v>26</v>
      </c>
    </row>
    <row r="988" spans="1:11" x14ac:dyDescent="0.3">
      <c r="A988" t="s">
        <v>86</v>
      </c>
      <c r="B988" t="s">
        <v>87</v>
      </c>
      <c r="C988">
        <v>65</v>
      </c>
      <c r="D988" t="s">
        <v>15</v>
      </c>
      <c r="E988" s="1">
        <v>45338</v>
      </c>
      <c r="J988">
        <v>61</v>
      </c>
      <c r="K988">
        <v>76</v>
      </c>
    </row>
    <row r="989" spans="1:11" x14ac:dyDescent="0.3">
      <c r="A989" t="s">
        <v>1900</v>
      </c>
      <c r="B989" t="s">
        <v>1901</v>
      </c>
      <c r="C989">
        <v>93</v>
      </c>
      <c r="D989" t="s">
        <v>18</v>
      </c>
      <c r="E989" s="1">
        <v>44904</v>
      </c>
      <c r="J989">
        <v>29</v>
      </c>
      <c r="K989">
        <v>26</v>
      </c>
    </row>
    <row r="990" spans="1:11" x14ac:dyDescent="0.3">
      <c r="A990" t="s">
        <v>2000</v>
      </c>
      <c r="B990" t="s">
        <v>2001</v>
      </c>
      <c r="C990">
        <v>116</v>
      </c>
      <c r="D990" t="s">
        <v>15</v>
      </c>
      <c r="E990" s="1">
        <v>45336</v>
      </c>
      <c r="J990">
        <v>26</v>
      </c>
      <c r="K990">
        <v>10</v>
      </c>
    </row>
    <row r="991" spans="1:11" x14ac:dyDescent="0.3">
      <c r="A991" t="s">
        <v>1801</v>
      </c>
      <c r="B991" t="s">
        <v>1802</v>
      </c>
      <c r="C991">
        <v>104</v>
      </c>
      <c r="D991" t="s">
        <v>63</v>
      </c>
      <c r="E991" s="1">
        <v>44778</v>
      </c>
      <c r="J991">
        <v>46</v>
      </c>
      <c r="K991">
        <v>33</v>
      </c>
    </row>
    <row r="992" spans="1:11" x14ac:dyDescent="0.3">
      <c r="A992" t="s">
        <v>1920</v>
      </c>
      <c r="B992" t="s">
        <v>1921</v>
      </c>
      <c r="C992">
        <v>100</v>
      </c>
      <c r="D992" t="s">
        <v>28</v>
      </c>
      <c r="E992" s="1">
        <v>45421</v>
      </c>
      <c r="J992">
        <v>29</v>
      </c>
      <c r="K992">
        <v>24</v>
      </c>
    </row>
    <row r="993" spans="1:11" x14ac:dyDescent="0.3">
      <c r="A993" t="s">
        <v>1124</v>
      </c>
      <c r="B993" t="s">
        <v>1125</v>
      </c>
      <c r="C993">
        <v>110</v>
      </c>
      <c r="D993" t="s">
        <v>18</v>
      </c>
      <c r="E993" s="1">
        <v>45064</v>
      </c>
      <c r="J993">
        <v>72</v>
      </c>
      <c r="K993">
        <v>75</v>
      </c>
    </row>
    <row r="994" spans="1:11" x14ac:dyDescent="0.3">
      <c r="A994" t="s">
        <v>1974</v>
      </c>
      <c r="B994" t="s">
        <v>1975</v>
      </c>
      <c r="C994">
        <v>102</v>
      </c>
      <c r="D994" t="s">
        <v>15</v>
      </c>
      <c r="E994" s="1">
        <v>44729</v>
      </c>
      <c r="J994">
        <v>38</v>
      </c>
      <c r="K994">
        <v>17</v>
      </c>
    </row>
    <row r="995" spans="1:11" x14ac:dyDescent="0.3">
      <c r="A995" t="s">
        <v>1996</v>
      </c>
      <c r="B995" t="s">
        <v>1997</v>
      </c>
      <c r="C995">
        <v>93</v>
      </c>
      <c r="D995" t="s">
        <v>28</v>
      </c>
      <c r="E995" s="1">
        <v>45006</v>
      </c>
      <c r="J995">
        <v>22</v>
      </c>
      <c r="K995">
        <v>11</v>
      </c>
    </row>
    <row r="996" spans="1:11" x14ac:dyDescent="0.3">
      <c r="A996" t="s">
        <v>1930</v>
      </c>
      <c r="B996" t="s">
        <v>1931</v>
      </c>
      <c r="C996">
        <v>95</v>
      </c>
      <c r="D996" t="s">
        <v>15</v>
      </c>
      <c r="E996" s="1">
        <v>45681</v>
      </c>
      <c r="J996">
        <v>37</v>
      </c>
      <c r="K996">
        <v>23</v>
      </c>
    </row>
    <row r="997" spans="1:11" x14ac:dyDescent="0.3">
      <c r="A997" t="s">
        <v>1990</v>
      </c>
      <c r="B997" t="s">
        <v>1991</v>
      </c>
      <c r="C997">
        <v>92</v>
      </c>
      <c r="D997" t="s">
        <v>28</v>
      </c>
      <c r="E997" s="1">
        <v>44876</v>
      </c>
      <c r="J997">
        <v>31</v>
      </c>
      <c r="K997">
        <v>14</v>
      </c>
    </row>
    <row r="998" spans="1:11" x14ac:dyDescent="0.3">
      <c r="A998" t="s">
        <v>1904</v>
      </c>
      <c r="B998" t="s">
        <v>1905</v>
      </c>
      <c r="C998">
        <v>104</v>
      </c>
      <c r="D998" t="s">
        <v>15</v>
      </c>
      <c r="E998" s="1">
        <v>45366</v>
      </c>
      <c r="J998">
        <v>50</v>
      </c>
      <c r="K998">
        <v>25</v>
      </c>
    </row>
    <row r="999" spans="1:11" x14ac:dyDescent="0.3">
      <c r="A999" t="s">
        <v>802</v>
      </c>
      <c r="B999" t="s">
        <v>803</v>
      </c>
      <c r="C999">
        <v>94</v>
      </c>
      <c r="D999" t="s">
        <v>28</v>
      </c>
      <c r="E999" s="1">
        <v>44904</v>
      </c>
      <c r="J999">
        <v>64</v>
      </c>
      <c r="K999">
        <v>85</v>
      </c>
    </row>
    <row r="1000" spans="1:11" x14ac:dyDescent="0.3">
      <c r="A1000" t="s">
        <v>2014</v>
      </c>
      <c r="B1000" t="s">
        <v>2015</v>
      </c>
      <c r="C1000">
        <v>95</v>
      </c>
      <c r="D1000" t="s">
        <v>28</v>
      </c>
      <c r="E1000" s="1">
        <v>45673</v>
      </c>
      <c r="J1000">
        <v>23</v>
      </c>
      <c r="K1000">
        <v>0</v>
      </c>
    </row>
    <row r="1001" spans="1:11" x14ac:dyDescent="0.3">
      <c r="A1001" t="s">
        <v>2012</v>
      </c>
      <c r="B1001" t="s">
        <v>2013</v>
      </c>
      <c r="C1001">
        <v>84</v>
      </c>
      <c r="D1001" t="s">
        <v>18</v>
      </c>
      <c r="E1001" s="1">
        <v>45002</v>
      </c>
      <c r="J1001">
        <v>16</v>
      </c>
      <c r="K1001">
        <v>3</v>
      </c>
    </row>
  </sheetData>
  <autoFilter ref="A1:K1001" xr:uid="{FC5CE744-FDA8-4EAB-BE1A-352E4A9D7FD1}">
    <sortState xmlns:xlrd2="http://schemas.microsoft.com/office/spreadsheetml/2017/richdata2" ref="A2:K1001">
      <sortCondition descending="1" ref="I1:I100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0C12F-6887-4439-9EA3-FD0AAF21AFAA}">
  <dimension ref="A1:T1001"/>
  <sheetViews>
    <sheetView topLeftCell="M1" zoomScale="308" zoomScaleNormal="280" workbookViewId="0">
      <selection activeCell="O12" sqref="O12"/>
    </sheetView>
  </sheetViews>
  <sheetFormatPr defaultRowHeight="14.4" x14ac:dyDescent="0.3"/>
  <cols>
    <col min="1" max="4" width="0" hidden="1" customWidth="1"/>
    <col min="5" max="5" width="11.5546875" hidden="1" customWidth="1"/>
    <col min="6" max="12" width="0" hidden="1" customWidth="1"/>
    <col min="15" max="15" width="17.6640625" customWidth="1"/>
    <col min="18" max="18" width="13.5546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2016</v>
      </c>
      <c r="H1" t="s">
        <v>7</v>
      </c>
      <c r="I1" t="s">
        <v>8</v>
      </c>
      <c r="J1" t="s">
        <v>5</v>
      </c>
      <c r="K1" t="s">
        <v>9</v>
      </c>
      <c r="M1" t="s">
        <v>2028</v>
      </c>
    </row>
    <row r="2" spans="1:20" x14ac:dyDescent="0.3">
      <c r="A2" t="s">
        <v>470</v>
      </c>
      <c r="B2" t="s">
        <v>471</v>
      </c>
      <c r="C2">
        <v>180</v>
      </c>
      <c r="D2" t="s">
        <v>28</v>
      </c>
      <c r="E2" s="1">
        <v>45128</v>
      </c>
      <c r="G2">
        <v>869000</v>
      </c>
      <c r="I2">
        <v>11599</v>
      </c>
      <c r="J2">
        <v>90</v>
      </c>
      <c r="K2">
        <v>93</v>
      </c>
      <c r="M2" s="24" t="s">
        <v>2043</v>
      </c>
    </row>
    <row r="3" spans="1:20" x14ac:dyDescent="0.3">
      <c r="A3" t="s">
        <v>820</v>
      </c>
      <c r="B3" t="s">
        <v>821</v>
      </c>
      <c r="C3">
        <v>176</v>
      </c>
      <c r="D3" t="s">
        <v>15</v>
      </c>
      <c r="E3" s="1">
        <v>44624</v>
      </c>
      <c r="G3">
        <v>864000</v>
      </c>
      <c r="I3">
        <v>11781</v>
      </c>
      <c r="J3">
        <v>72</v>
      </c>
      <c r="K3">
        <v>85</v>
      </c>
    </row>
    <row r="4" spans="1:20" ht="15" thickBot="1" x14ac:dyDescent="0.35">
      <c r="A4" t="s">
        <v>322</v>
      </c>
      <c r="B4" t="s">
        <v>323</v>
      </c>
      <c r="C4">
        <v>130</v>
      </c>
      <c r="D4" t="s">
        <v>15</v>
      </c>
      <c r="E4" s="1">
        <v>44708</v>
      </c>
      <c r="G4">
        <v>764000</v>
      </c>
      <c r="I4">
        <v>10763</v>
      </c>
      <c r="J4">
        <v>78</v>
      </c>
      <c r="K4">
        <v>96</v>
      </c>
    </row>
    <row r="5" spans="1:20" x14ac:dyDescent="0.3">
      <c r="A5" t="s">
        <v>511</v>
      </c>
      <c r="B5" t="s">
        <v>512</v>
      </c>
      <c r="C5">
        <v>166</v>
      </c>
      <c r="D5" t="s">
        <v>15</v>
      </c>
      <c r="E5" s="1">
        <v>45352</v>
      </c>
      <c r="G5">
        <v>615000</v>
      </c>
      <c r="I5">
        <v>7787</v>
      </c>
      <c r="J5">
        <v>79</v>
      </c>
      <c r="K5">
        <v>92</v>
      </c>
      <c r="N5" s="21" t="s">
        <v>2022</v>
      </c>
      <c r="O5" s="22"/>
      <c r="P5" s="22"/>
      <c r="Q5" s="22"/>
      <c r="R5" s="22"/>
      <c r="S5" s="22" t="s">
        <v>2037</v>
      </c>
      <c r="T5" s="23" t="s">
        <v>2038</v>
      </c>
    </row>
    <row r="6" spans="1:20" x14ac:dyDescent="0.3">
      <c r="A6" t="s">
        <v>673</v>
      </c>
      <c r="B6" t="s">
        <v>674</v>
      </c>
      <c r="C6">
        <v>114</v>
      </c>
      <c r="D6" t="s">
        <v>15</v>
      </c>
      <c r="E6" s="1">
        <v>45128</v>
      </c>
      <c r="G6">
        <v>601000</v>
      </c>
      <c r="I6">
        <v>10964</v>
      </c>
      <c r="J6">
        <v>80</v>
      </c>
      <c r="K6">
        <v>88</v>
      </c>
      <c r="N6" s="5" t="s">
        <v>1982</v>
      </c>
      <c r="O6" t="s">
        <v>1983</v>
      </c>
      <c r="P6">
        <v>104</v>
      </c>
      <c r="Q6" t="s">
        <v>15</v>
      </c>
      <c r="R6" s="1">
        <v>44652</v>
      </c>
      <c r="S6">
        <v>5.0999999999999996</v>
      </c>
      <c r="T6" s="6">
        <v>163000</v>
      </c>
    </row>
    <row r="7" spans="1:20" x14ac:dyDescent="0.3">
      <c r="A7" t="s">
        <v>492</v>
      </c>
      <c r="B7" t="s">
        <v>493</v>
      </c>
      <c r="C7">
        <v>139</v>
      </c>
      <c r="D7" t="s">
        <v>28</v>
      </c>
      <c r="E7" s="1">
        <v>44659</v>
      </c>
      <c r="G7">
        <v>576000</v>
      </c>
      <c r="I7">
        <v>7834</v>
      </c>
      <c r="J7">
        <v>81</v>
      </c>
      <c r="K7">
        <v>93</v>
      </c>
      <c r="N7" s="5" t="s">
        <v>1819</v>
      </c>
      <c r="O7" t="s">
        <v>1820</v>
      </c>
      <c r="P7">
        <v>138</v>
      </c>
      <c r="Q7" t="s">
        <v>28</v>
      </c>
      <c r="R7" s="1">
        <v>45569</v>
      </c>
      <c r="S7">
        <v>5.2</v>
      </c>
      <c r="T7" s="6">
        <v>157000</v>
      </c>
    </row>
    <row r="8" spans="1:20" ht="15" thickBot="1" x14ac:dyDescent="0.35">
      <c r="A8" t="s">
        <v>1094</v>
      </c>
      <c r="B8" t="s">
        <v>1095</v>
      </c>
      <c r="C8">
        <v>192</v>
      </c>
      <c r="D8" t="s">
        <v>15</v>
      </c>
      <c r="E8" s="1">
        <v>44911</v>
      </c>
      <c r="G8">
        <v>530000</v>
      </c>
      <c r="I8">
        <v>13962</v>
      </c>
      <c r="J8">
        <v>67</v>
      </c>
      <c r="K8">
        <v>76</v>
      </c>
      <c r="N8" s="7" t="s">
        <v>130</v>
      </c>
      <c r="O8" s="8" t="s">
        <v>131</v>
      </c>
      <c r="P8" s="8">
        <v>109</v>
      </c>
      <c r="Q8" s="8" t="s">
        <v>12</v>
      </c>
      <c r="R8" s="20">
        <v>45737</v>
      </c>
      <c r="S8" s="8">
        <v>1.6</v>
      </c>
      <c r="T8" s="9">
        <v>152000</v>
      </c>
    </row>
    <row r="9" spans="1:20" x14ac:dyDescent="0.3">
      <c r="A9" t="s">
        <v>1168</v>
      </c>
      <c r="B9" t="s">
        <v>1169</v>
      </c>
      <c r="C9">
        <v>126</v>
      </c>
      <c r="D9" t="s">
        <v>15</v>
      </c>
      <c r="E9" s="1">
        <v>44687</v>
      </c>
      <c r="G9">
        <v>510000</v>
      </c>
      <c r="I9">
        <v>10205</v>
      </c>
      <c r="J9">
        <v>60</v>
      </c>
      <c r="K9">
        <v>73</v>
      </c>
    </row>
    <row r="10" spans="1:20" x14ac:dyDescent="0.3">
      <c r="A10" t="s">
        <v>1526</v>
      </c>
      <c r="B10" t="s">
        <v>1527</v>
      </c>
      <c r="C10">
        <v>127</v>
      </c>
      <c r="D10" t="s">
        <v>28</v>
      </c>
      <c r="E10" s="1">
        <v>44778</v>
      </c>
      <c r="G10">
        <v>487000</v>
      </c>
      <c r="I10">
        <v>7407</v>
      </c>
      <c r="J10">
        <v>49</v>
      </c>
      <c r="K10">
        <v>52</v>
      </c>
      <c r="N10" t="s">
        <v>2046</v>
      </c>
    </row>
    <row r="11" spans="1:20" x14ac:dyDescent="0.3">
      <c r="A11" t="s">
        <v>1020</v>
      </c>
      <c r="B11" t="s">
        <v>1021</v>
      </c>
      <c r="C11">
        <v>128</v>
      </c>
      <c r="D11" t="s">
        <v>28</v>
      </c>
      <c r="E11" s="1">
        <v>45499</v>
      </c>
      <c r="G11">
        <v>482000</v>
      </c>
      <c r="I11">
        <v>8466</v>
      </c>
      <c r="J11">
        <v>56</v>
      </c>
      <c r="K11">
        <v>78</v>
      </c>
    </row>
    <row r="12" spans="1:20" x14ac:dyDescent="0.3">
      <c r="A12" t="s">
        <v>564</v>
      </c>
      <c r="B12" t="s">
        <v>565</v>
      </c>
      <c r="C12">
        <v>139</v>
      </c>
      <c r="D12" t="s">
        <v>15</v>
      </c>
      <c r="E12" s="1">
        <v>44918</v>
      </c>
      <c r="G12">
        <v>473000</v>
      </c>
      <c r="I12">
        <v>6718</v>
      </c>
      <c r="J12">
        <v>81</v>
      </c>
      <c r="K12">
        <v>91</v>
      </c>
    </row>
    <row r="13" spans="1:20" x14ac:dyDescent="0.3">
      <c r="A13" t="s">
        <v>683</v>
      </c>
      <c r="B13" t="s">
        <v>684</v>
      </c>
      <c r="C13">
        <v>107</v>
      </c>
      <c r="D13" t="s">
        <v>28</v>
      </c>
      <c r="E13" s="1">
        <v>44883</v>
      </c>
      <c r="G13">
        <v>448000</v>
      </c>
      <c r="I13">
        <v>6062</v>
      </c>
      <c r="J13">
        <v>71</v>
      </c>
      <c r="K13">
        <v>88</v>
      </c>
    </row>
    <row r="14" spans="1:20" x14ac:dyDescent="0.3">
      <c r="A14" t="s">
        <v>356</v>
      </c>
      <c r="B14" t="s">
        <v>357</v>
      </c>
      <c r="C14">
        <v>140</v>
      </c>
      <c r="D14" t="s">
        <v>12</v>
      </c>
      <c r="E14" s="1">
        <v>45079</v>
      </c>
      <c r="G14">
        <v>444000</v>
      </c>
      <c r="I14">
        <v>8445</v>
      </c>
      <c r="J14">
        <v>86</v>
      </c>
      <c r="K14">
        <v>95</v>
      </c>
    </row>
    <row r="15" spans="1:20" x14ac:dyDescent="0.3">
      <c r="A15" t="s">
        <v>1366</v>
      </c>
      <c r="B15" t="s">
        <v>1367</v>
      </c>
      <c r="C15">
        <v>118</v>
      </c>
      <c r="D15" t="s">
        <v>15</v>
      </c>
      <c r="E15" s="1">
        <v>44750</v>
      </c>
      <c r="G15">
        <v>429000</v>
      </c>
      <c r="I15">
        <v>8479</v>
      </c>
      <c r="J15">
        <v>57</v>
      </c>
      <c r="K15">
        <v>63</v>
      </c>
    </row>
    <row r="16" spans="1:20" x14ac:dyDescent="0.3">
      <c r="A16" t="s">
        <v>914</v>
      </c>
      <c r="B16" t="s">
        <v>915</v>
      </c>
      <c r="C16">
        <v>150</v>
      </c>
      <c r="D16" t="s">
        <v>15</v>
      </c>
      <c r="E16" s="1">
        <v>45051</v>
      </c>
      <c r="G16">
        <v>422000</v>
      </c>
      <c r="I16">
        <v>8180</v>
      </c>
      <c r="J16">
        <v>64</v>
      </c>
      <c r="K16">
        <v>82</v>
      </c>
    </row>
    <row r="17" spans="1:11" x14ac:dyDescent="0.3">
      <c r="A17" t="s">
        <v>414</v>
      </c>
      <c r="B17" t="s">
        <v>415</v>
      </c>
      <c r="C17">
        <v>169</v>
      </c>
      <c r="D17" t="s">
        <v>28</v>
      </c>
      <c r="E17" s="1">
        <v>45009</v>
      </c>
      <c r="G17">
        <v>372000</v>
      </c>
      <c r="I17">
        <v>7825</v>
      </c>
      <c r="J17">
        <v>78</v>
      </c>
      <c r="K17">
        <v>94</v>
      </c>
    </row>
    <row r="18" spans="1:11" x14ac:dyDescent="0.3">
      <c r="A18" t="s">
        <v>513</v>
      </c>
      <c r="B18" t="s">
        <v>514</v>
      </c>
      <c r="C18">
        <v>141</v>
      </c>
      <c r="D18" t="s">
        <v>28</v>
      </c>
      <c r="E18" s="1">
        <v>45282</v>
      </c>
      <c r="G18">
        <v>336000</v>
      </c>
      <c r="I18">
        <v>5416</v>
      </c>
      <c r="J18">
        <v>88</v>
      </c>
      <c r="K18">
        <v>92</v>
      </c>
    </row>
    <row r="19" spans="1:11" x14ac:dyDescent="0.3">
      <c r="A19" t="s">
        <v>848</v>
      </c>
      <c r="B19" t="s">
        <v>849</v>
      </c>
      <c r="C19">
        <v>161</v>
      </c>
      <c r="D19" t="s">
        <v>15</v>
      </c>
      <c r="E19" s="1">
        <v>44876</v>
      </c>
      <c r="G19">
        <v>327000</v>
      </c>
      <c r="I19">
        <v>7385</v>
      </c>
      <c r="J19">
        <v>67</v>
      </c>
      <c r="K19">
        <v>84</v>
      </c>
    </row>
    <row r="20" spans="1:11" x14ac:dyDescent="0.3">
      <c r="A20" t="s">
        <v>877</v>
      </c>
      <c r="B20" t="s">
        <v>878</v>
      </c>
      <c r="C20">
        <v>130</v>
      </c>
      <c r="D20" t="s">
        <v>28</v>
      </c>
      <c r="E20" s="1">
        <v>44764</v>
      </c>
      <c r="G20">
        <v>296000</v>
      </c>
      <c r="I20">
        <v>4808</v>
      </c>
      <c r="J20">
        <v>77</v>
      </c>
      <c r="K20">
        <v>83</v>
      </c>
    </row>
    <row r="21" spans="1:11" x14ac:dyDescent="0.3">
      <c r="A21" t="s">
        <v>1730</v>
      </c>
      <c r="B21" t="s">
        <v>1731</v>
      </c>
      <c r="C21">
        <v>125</v>
      </c>
      <c r="D21" t="s">
        <v>15</v>
      </c>
      <c r="E21" s="1">
        <v>44855</v>
      </c>
      <c r="G21">
        <v>290000</v>
      </c>
      <c r="I21">
        <v>6952</v>
      </c>
      <c r="J21">
        <v>41</v>
      </c>
      <c r="K21">
        <v>39</v>
      </c>
    </row>
    <row r="22" spans="1:11" x14ac:dyDescent="0.3">
      <c r="A22" t="s">
        <v>624</v>
      </c>
      <c r="B22" t="s">
        <v>625</v>
      </c>
      <c r="C22">
        <v>141</v>
      </c>
      <c r="D22" t="s">
        <v>28</v>
      </c>
      <c r="E22" s="1">
        <v>45555</v>
      </c>
      <c r="G22">
        <v>284000</v>
      </c>
      <c r="I22">
        <v>5872</v>
      </c>
      <c r="J22">
        <v>78</v>
      </c>
      <c r="K22">
        <v>89</v>
      </c>
    </row>
    <row r="23" spans="1:11" x14ac:dyDescent="0.3">
      <c r="A23" t="s">
        <v>302</v>
      </c>
      <c r="B23" t="s">
        <v>303</v>
      </c>
      <c r="C23">
        <v>163</v>
      </c>
      <c r="D23" t="s">
        <v>15</v>
      </c>
      <c r="E23" s="1">
        <v>45119</v>
      </c>
      <c r="G23">
        <v>282000</v>
      </c>
      <c r="I23">
        <v>5040</v>
      </c>
      <c r="J23">
        <v>81</v>
      </c>
      <c r="K23">
        <v>96</v>
      </c>
    </row>
    <row r="24" spans="1:11" x14ac:dyDescent="0.3">
      <c r="A24" t="s">
        <v>588</v>
      </c>
      <c r="B24" t="s">
        <v>589</v>
      </c>
      <c r="C24">
        <v>148</v>
      </c>
      <c r="D24" t="s">
        <v>28</v>
      </c>
      <c r="E24" s="1">
        <v>45436</v>
      </c>
      <c r="G24">
        <v>281000</v>
      </c>
      <c r="I24">
        <v>4776</v>
      </c>
      <c r="J24">
        <v>79</v>
      </c>
      <c r="K24">
        <v>90</v>
      </c>
    </row>
    <row r="25" spans="1:11" x14ac:dyDescent="0.3">
      <c r="A25" t="s">
        <v>128</v>
      </c>
      <c r="B25" t="s">
        <v>129</v>
      </c>
      <c r="C25">
        <v>116</v>
      </c>
      <c r="D25" t="s">
        <v>15</v>
      </c>
      <c r="E25" s="1">
        <v>44610</v>
      </c>
      <c r="G25">
        <v>280000</v>
      </c>
      <c r="I25">
        <v>6703</v>
      </c>
      <c r="J25">
        <v>45</v>
      </c>
      <c r="K25">
        <v>41</v>
      </c>
    </row>
    <row r="26" spans="1:11" x14ac:dyDescent="0.3">
      <c r="A26" t="s">
        <v>464</v>
      </c>
      <c r="B26" t="s">
        <v>465</v>
      </c>
      <c r="C26">
        <v>206</v>
      </c>
      <c r="D26" t="s">
        <v>28</v>
      </c>
      <c r="E26" s="1">
        <v>45219</v>
      </c>
      <c r="G26">
        <v>279000</v>
      </c>
      <c r="I26">
        <v>4065</v>
      </c>
      <c r="J26">
        <v>89</v>
      </c>
      <c r="K26">
        <v>93</v>
      </c>
    </row>
    <row r="27" spans="1:11" x14ac:dyDescent="0.3">
      <c r="A27" t="s">
        <v>612</v>
      </c>
      <c r="B27" t="s">
        <v>613</v>
      </c>
      <c r="C27">
        <v>137</v>
      </c>
      <c r="D27" t="s">
        <v>28</v>
      </c>
      <c r="E27" s="1">
        <v>44673</v>
      </c>
      <c r="G27">
        <v>277000</v>
      </c>
      <c r="I27">
        <v>4967</v>
      </c>
      <c r="J27">
        <v>82</v>
      </c>
      <c r="K27">
        <v>90</v>
      </c>
    </row>
    <row r="28" spans="1:11" x14ac:dyDescent="0.3">
      <c r="A28" t="s">
        <v>310</v>
      </c>
      <c r="B28" t="s">
        <v>311</v>
      </c>
      <c r="C28">
        <v>114</v>
      </c>
      <c r="D28" t="s">
        <v>28</v>
      </c>
      <c r="E28" s="1">
        <v>44869</v>
      </c>
      <c r="G28">
        <v>276000</v>
      </c>
      <c r="I28">
        <v>3306</v>
      </c>
      <c r="J28">
        <v>87</v>
      </c>
      <c r="K28">
        <v>96</v>
      </c>
    </row>
    <row r="29" spans="1:11" x14ac:dyDescent="0.3">
      <c r="A29" t="s">
        <v>610</v>
      </c>
      <c r="B29" t="s">
        <v>611</v>
      </c>
      <c r="C29">
        <v>148</v>
      </c>
      <c r="D29" t="s">
        <v>28</v>
      </c>
      <c r="E29" s="1">
        <v>44862</v>
      </c>
      <c r="G29">
        <v>271000</v>
      </c>
      <c r="I29">
        <v>4603</v>
      </c>
      <c r="J29">
        <v>76</v>
      </c>
      <c r="K29">
        <v>90</v>
      </c>
    </row>
    <row r="30" spans="1:11" x14ac:dyDescent="0.3">
      <c r="A30" t="s">
        <v>1422</v>
      </c>
      <c r="B30" t="s">
        <v>1423</v>
      </c>
      <c r="C30">
        <v>92</v>
      </c>
      <c r="D30" t="s">
        <v>12</v>
      </c>
      <c r="E30" s="1">
        <v>45021</v>
      </c>
      <c r="G30">
        <v>264000</v>
      </c>
      <c r="I30">
        <v>10483</v>
      </c>
      <c r="J30">
        <v>46</v>
      </c>
      <c r="K30">
        <v>59</v>
      </c>
    </row>
    <row r="31" spans="1:11" x14ac:dyDescent="0.3">
      <c r="A31" t="s">
        <v>41</v>
      </c>
      <c r="B31" t="s">
        <v>42</v>
      </c>
      <c r="C31">
        <v>134</v>
      </c>
      <c r="D31" t="s">
        <v>15</v>
      </c>
      <c r="E31" s="1">
        <v>45016</v>
      </c>
      <c r="G31">
        <v>257000</v>
      </c>
      <c r="I31">
        <v>4501</v>
      </c>
      <c r="J31">
        <v>72</v>
      </c>
      <c r="K31">
        <v>91</v>
      </c>
    </row>
    <row r="32" spans="1:11" x14ac:dyDescent="0.3">
      <c r="A32" t="s">
        <v>1617</v>
      </c>
      <c r="B32" t="s">
        <v>1618</v>
      </c>
      <c r="C32">
        <v>122</v>
      </c>
      <c r="D32" t="s">
        <v>15</v>
      </c>
      <c r="E32" s="1">
        <v>44764</v>
      </c>
      <c r="G32">
        <v>256000</v>
      </c>
      <c r="I32">
        <v>4162</v>
      </c>
      <c r="J32">
        <v>49</v>
      </c>
      <c r="K32">
        <v>46</v>
      </c>
    </row>
    <row r="33" spans="1:11" x14ac:dyDescent="0.3">
      <c r="A33" t="s">
        <v>1058</v>
      </c>
      <c r="B33" t="s">
        <v>1059</v>
      </c>
      <c r="C33">
        <v>159</v>
      </c>
      <c r="D33" t="s">
        <v>15</v>
      </c>
      <c r="E33" s="1">
        <v>44736</v>
      </c>
      <c r="G33">
        <v>249000</v>
      </c>
      <c r="I33">
        <v>3837</v>
      </c>
      <c r="J33">
        <v>64</v>
      </c>
      <c r="K33">
        <v>77</v>
      </c>
    </row>
    <row r="34" spans="1:11" x14ac:dyDescent="0.3">
      <c r="A34" t="s">
        <v>1615</v>
      </c>
      <c r="B34" t="s">
        <v>1616</v>
      </c>
      <c r="C34">
        <v>124</v>
      </c>
      <c r="D34" t="s">
        <v>15</v>
      </c>
      <c r="E34" s="1">
        <v>44974</v>
      </c>
      <c r="G34">
        <v>248000</v>
      </c>
      <c r="I34">
        <v>5747</v>
      </c>
      <c r="J34">
        <v>48</v>
      </c>
      <c r="K34">
        <v>46</v>
      </c>
    </row>
    <row r="35" spans="1:11" x14ac:dyDescent="0.3">
      <c r="A35" t="s">
        <v>418</v>
      </c>
      <c r="B35" t="s">
        <v>419</v>
      </c>
      <c r="C35">
        <v>100</v>
      </c>
      <c r="D35" t="s">
        <v>28</v>
      </c>
      <c r="E35" s="1">
        <v>44778</v>
      </c>
      <c r="G35">
        <v>246000</v>
      </c>
      <c r="I35">
        <v>7618</v>
      </c>
      <c r="J35">
        <v>71</v>
      </c>
      <c r="K35">
        <v>94</v>
      </c>
    </row>
    <row r="36" spans="1:11" x14ac:dyDescent="0.3">
      <c r="A36" t="s">
        <v>1288</v>
      </c>
      <c r="B36" t="s">
        <v>1289</v>
      </c>
      <c r="C36">
        <v>106</v>
      </c>
      <c r="D36" t="s">
        <v>15</v>
      </c>
      <c r="E36" s="1">
        <v>44631</v>
      </c>
      <c r="G36">
        <v>245000</v>
      </c>
      <c r="I36">
        <v>4868</v>
      </c>
      <c r="J36">
        <v>55</v>
      </c>
      <c r="K36">
        <v>68</v>
      </c>
    </row>
    <row r="37" spans="1:11" x14ac:dyDescent="0.3">
      <c r="A37" t="s">
        <v>1350</v>
      </c>
      <c r="B37" t="s">
        <v>1351</v>
      </c>
      <c r="C37">
        <v>117</v>
      </c>
      <c r="D37" t="s">
        <v>28</v>
      </c>
      <c r="E37" s="1">
        <v>44916</v>
      </c>
      <c r="G37">
        <v>243000</v>
      </c>
      <c r="I37">
        <v>4615</v>
      </c>
      <c r="J37">
        <v>60</v>
      </c>
      <c r="K37">
        <v>64</v>
      </c>
    </row>
    <row r="38" spans="1:11" x14ac:dyDescent="0.3">
      <c r="A38" t="s">
        <v>1178</v>
      </c>
      <c r="B38" t="s">
        <v>1179</v>
      </c>
      <c r="C38">
        <v>131</v>
      </c>
      <c r="D38" t="s">
        <v>28</v>
      </c>
      <c r="E38" s="1">
        <v>45282</v>
      </c>
      <c r="G38">
        <v>242000</v>
      </c>
      <c r="J38">
        <v>61</v>
      </c>
      <c r="K38">
        <v>72</v>
      </c>
    </row>
    <row r="39" spans="1:11" x14ac:dyDescent="0.3">
      <c r="A39" t="s">
        <v>978</v>
      </c>
      <c r="B39" t="s">
        <v>979</v>
      </c>
      <c r="C39">
        <v>119</v>
      </c>
      <c r="D39" t="s">
        <v>28</v>
      </c>
      <c r="E39" s="1">
        <v>45520</v>
      </c>
      <c r="G39">
        <v>239000</v>
      </c>
      <c r="I39">
        <v>4441</v>
      </c>
      <c r="J39">
        <v>64</v>
      </c>
      <c r="K39">
        <v>80</v>
      </c>
    </row>
    <row r="40" spans="1:11" x14ac:dyDescent="0.3">
      <c r="A40" t="s">
        <v>948</v>
      </c>
      <c r="B40" t="s">
        <v>949</v>
      </c>
      <c r="C40">
        <v>109</v>
      </c>
      <c r="D40" t="s">
        <v>28</v>
      </c>
      <c r="E40" s="1">
        <v>45394</v>
      </c>
      <c r="G40">
        <v>233000</v>
      </c>
      <c r="I40">
        <v>4241</v>
      </c>
      <c r="J40">
        <v>75</v>
      </c>
      <c r="K40">
        <v>81</v>
      </c>
    </row>
    <row r="41" spans="1:11" x14ac:dyDescent="0.3">
      <c r="A41" t="s">
        <v>1358</v>
      </c>
      <c r="B41" t="s">
        <v>1359</v>
      </c>
      <c r="C41">
        <v>144</v>
      </c>
      <c r="D41" t="s">
        <v>15</v>
      </c>
      <c r="E41" s="1">
        <v>45093</v>
      </c>
      <c r="G41">
        <v>231000</v>
      </c>
      <c r="I41">
        <v>4925</v>
      </c>
      <c r="J41">
        <v>55</v>
      </c>
      <c r="K41">
        <v>63</v>
      </c>
    </row>
    <row r="42" spans="1:11" x14ac:dyDescent="0.3">
      <c r="A42" t="s">
        <v>1158</v>
      </c>
      <c r="B42" t="s">
        <v>1159</v>
      </c>
      <c r="C42">
        <v>138</v>
      </c>
      <c r="D42" t="s">
        <v>28</v>
      </c>
      <c r="E42" s="1">
        <v>45268</v>
      </c>
      <c r="G42">
        <v>228000</v>
      </c>
      <c r="I42">
        <v>3169</v>
      </c>
      <c r="J42">
        <v>68</v>
      </c>
      <c r="K42">
        <v>73</v>
      </c>
    </row>
    <row r="43" spans="1:11" x14ac:dyDescent="0.3">
      <c r="A43" t="s">
        <v>964</v>
      </c>
      <c r="B43" t="s">
        <v>965</v>
      </c>
      <c r="C43">
        <v>103</v>
      </c>
      <c r="D43" t="s">
        <v>28</v>
      </c>
      <c r="E43" s="1">
        <v>44736</v>
      </c>
      <c r="G43">
        <v>224000</v>
      </c>
      <c r="I43">
        <v>5758</v>
      </c>
      <c r="J43">
        <v>65</v>
      </c>
      <c r="K43">
        <v>81</v>
      </c>
    </row>
    <row r="44" spans="1:11" x14ac:dyDescent="0.3">
      <c r="A44" t="s">
        <v>1861</v>
      </c>
      <c r="B44" t="s">
        <v>1862</v>
      </c>
      <c r="C44">
        <v>147</v>
      </c>
      <c r="D44" t="s">
        <v>15</v>
      </c>
      <c r="E44" s="1">
        <v>44722</v>
      </c>
      <c r="G44">
        <v>221000</v>
      </c>
      <c r="I44">
        <v>6975</v>
      </c>
      <c r="J44">
        <v>38</v>
      </c>
      <c r="K44">
        <v>29</v>
      </c>
    </row>
    <row r="45" spans="1:11" x14ac:dyDescent="0.3">
      <c r="A45" t="s">
        <v>1236</v>
      </c>
      <c r="B45" t="s">
        <v>1237</v>
      </c>
      <c r="C45">
        <v>148</v>
      </c>
      <c r="D45" t="s">
        <v>28</v>
      </c>
      <c r="E45" s="1">
        <v>45618</v>
      </c>
      <c r="G45">
        <v>219000</v>
      </c>
      <c r="I45">
        <v>4324</v>
      </c>
      <c r="J45">
        <v>64</v>
      </c>
      <c r="K45">
        <v>70</v>
      </c>
    </row>
    <row r="46" spans="1:11" x14ac:dyDescent="0.3">
      <c r="A46" t="s">
        <v>1218</v>
      </c>
      <c r="B46" t="s">
        <v>1219</v>
      </c>
      <c r="C46">
        <v>154</v>
      </c>
      <c r="D46" t="s">
        <v>15</v>
      </c>
      <c r="E46" s="1">
        <v>45107</v>
      </c>
      <c r="G46">
        <v>218000</v>
      </c>
      <c r="I46">
        <v>4086</v>
      </c>
      <c r="J46">
        <v>58</v>
      </c>
      <c r="K46">
        <v>71</v>
      </c>
    </row>
    <row r="47" spans="1:11" x14ac:dyDescent="0.3">
      <c r="A47" t="s">
        <v>531</v>
      </c>
      <c r="B47" t="s">
        <v>532</v>
      </c>
      <c r="C47">
        <v>102</v>
      </c>
      <c r="D47" t="s">
        <v>28</v>
      </c>
      <c r="E47" s="1">
        <v>44813</v>
      </c>
      <c r="G47">
        <v>218000</v>
      </c>
      <c r="I47">
        <v>3156</v>
      </c>
      <c r="J47">
        <v>78</v>
      </c>
      <c r="K47">
        <v>92</v>
      </c>
    </row>
    <row r="48" spans="1:11" x14ac:dyDescent="0.3">
      <c r="A48" t="s">
        <v>898</v>
      </c>
      <c r="B48" t="s">
        <v>899</v>
      </c>
      <c r="C48">
        <v>126</v>
      </c>
      <c r="D48" t="s">
        <v>15</v>
      </c>
      <c r="E48" s="1">
        <v>45415</v>
      </c>
      <c r="G48">
        <v>217000</v>
      </c>
      <c r="I48">
        <v>3641</v>
      </c>
      <c r="J48">
        <v>73</v>
      </c>
      <c r="K48">
        <v>82</v>
      </c>
    </row>
    <row r="49" spans="1:11" x14ac:dyDescent="0.3">
      <c r="A49" t="s">
        <v>543</v>
      </c>
      <c r="B49" t="s">
        <v>544</v>
      </c>
      <c r="C49">
        <v>96</v>
      </c>
      <c r="D49" t="s">
        <v>12</v>
      </c>
      <c r="E49" s="1">
        <v>45457</v>
      </c>
      <c r="G49">
        <v>212000</v>
      </c>
      <c r="I49">
        <v>6589</v>
      </c>
      <c r="J49">
        <v>73</v>
      </c>
      <c r="K49">
        <v>91</v>
      </c>
    </row>
    <row r="50" spans="1:11" x14ac:dyDescent="0.3">
      <c r="A50" t="s">
        <v>988</v>
      </c>
      <c r="B50" t="s">
        <v>989</v>
      </c>
      <c r="C50">
        <v>115</v>
      </c>
      <c r="D50" t="s">
        <v>28</v>
      </c>
      <c r="E50" s="1">
        <v>44834</v>
      </c>
      <c r="G50">
        <v>212000</v>
      </c>
      <c r="I50">
        <v>3990</v>
      </c>
      <c r="J50">
        <v>68</v>
      </c>
      <c r="K50">
        <v>80</v>
      </c>
    </row>
    <row r="51" spans="1:11" x14ac:dyDescent="0.3">
      <c r="A51" t="s">
        <v>793</v>
      </c>
      <c r="B51" t="s">
        <v>778</v>
      </c>
      <c r="C51">
        <v>118</v>
      </c>
      <c r="D51" t="s">
        <v>28</v>
      </c>
      <c r="E51" s="1">
        <v>45240</v>
      </c>
      <c r="G51">
        <v>209000</v>
      </c>
      <c r="J51">
        <v>73</v>
      </c>
      <c r="K51">
        <v>85</v>
      </c>
    </row>
    <row r="52" spans="1:11" x14ac:dyDescent="0.3">
      <c r="A52" t="s">
        <v>432</v>
      </c>
      <c r="B52" t="s">
        <v>433</v>
      </c>
      <c r="C52">
        <v>105</v>
      </c>
      <c r="D52" t="s">
        <v>28</v>
      </c>
      <c r="E52" s="1">
        <v>44638</v>
      </c>
      <c r="G52">
        <v>206000</v>
      </c>
      <c r="I52">
        <v>3902</v>
      </c>
      <c r="J52">
        <v>80</v>
      </c>
      <c r="K52">
        <v>94</v>
      </c>
    </row>
    <row r="53" spans="1:11" x14ac:dyDescent="0.3">
      <c r="A53" t="s">
        <v>31</v>
      </c>
      <c r="B53" t="s">
        <v>32</v>
      </c>
      <c r="C53">
        <v>102</v>
      </c>
      <c r="D53" t="s">
        <v>12</v>
      </c>
      <c r="E53" s="1">
        <v>44916</v>
      </c>
      <c r="G53">
        <v>201000</v>
      </c>
      <c r="I53">
        <v>8729</v>
      </c>
      <c r="J53">
        <v>73</v>
      </c>
      <c r="K53">
        <v>95</v>
      </c>
    </row>
    <row r="54" spans="1:11" x14ac:dyDescent="0.3">
      <c r="A54" t="s">
        <v>1388</v>
      </c>
      <c r="B54" t="s">
        <v>1389</v>
      </c>
      <c r="C54">
        <v>127</v>
      </c>
      <c r="D54" t="s">
        <v>15</v>
      </c>
      <c r="E54" s="1">
        <v>44603</v>
      </c>
      <c r="G54">
        <v>200000</v>
      </c>
      <c r="I54">
        <v>4138</v>
      </c>
      <c r="J54">
        <v>52</v>
      </c>
      <c r="K54">
        <v>62</v>
      </c>
    </row>
    <row r="55" spans="1:11" x14ac:dyDescent="0.3">
      <c r="A55" t="s">
        <v>1194</v>
      </c>
      <c r="B55" t="s">
        <v>1195</v>
      </c>
      <c r="C55">
        <v>147</v>
      </c>
      <c r="D55" t="s">
        <v>28</v>
      </c>
      <c r="E55" s="1">
        <v>44822</v>
      </c>
      <c r="G55">
        <v>200000</v>
      </c>
      <c r="J55">
        <v>63</v>
      </c>
      <c r="K55">
        <v>72</v>
      </c>
    </row>
    <row r="56" spans="1:11" x14ac:dyDescent="0.3">
      <c r="A56" t="s">
        <v>246</v>
      </c>
      <c r="B56" t="s">
        <v>247</v>
      </c>
      <c r="C56">
        <v>133</v>
      </c>
      <c r="D56" t="s">
        <v>28</v>
      </c>
      <c r="E56" s="1">
        <v>45240</v>
      </c>
      <c r="G56">
        <v>197000</v>
      </c>
      <c r="J56">
        <v>82</v>
      </c>
      <c r="K56">
        <v>97</v>
      </c>
    </row>
    <row r="57" spans="1:11" x14ac:dyDescent="0.3">
      <c r="A57" t="s">
        <v>1220</v>
      </c>
      <c r="B57" t="s">
        <v>1221</v>
      </c>
      <c r="C57">
        <v>103</v>
      </c>
      <c r="D57" t="s">
        <v>28</v>
      </c>
      <c r="E57" s="1">
        <v>45100</v>
      </c>
      <c r="G57">
        <v>192000</v>
      </c>
      <c r="I57">
        <v>3757</v>
      </c>
      <c r="J57">
        <v>59</v>
      </c>
      <c r="K57">
        <v>71</v>
      </c>
    </row>
    <row r="58" spans="1:11" x14ac:dyDescent="0.3">
      <c r="A58" t="s">
        <v>1450</v>
      </c>
      <c r="B58" t="s">
        <v>1451</v>
      </c>
      <c r="C58">
        <v>189</v>
      </c>
      <c r="D58" t="s">
        <v>28</v>
      </c>
      <c r="E58" s="1">
        <v>44918</v>
      </c>
      <c r="G58">
        <v>192000</v>
      </c>
      <c r="I58">
        <v>3724</v>
      </c>
      <c r="J58">
        <v>61</v>
      </c>
      <c r="K58">
        <v>57</v>
      </c>
    </row>
    <row r="59" spans="1:11" x14ac:dyDescent="0.3">
      <c r="A59" t="s">
        <v>1246</v>
      </c>
      <c r="B59" t="s">
        <v>1247</v>
      </c>
      <c r="C59">
        <v>126</v>
      </c>
      <c r="D59" t="s">
        <v>15</v>
      </c>
      <c r="E59" s="1">
        <v>44939</v>
      </c>
      <c r="G59">
        <v>190000</v>
      </c>
      <c r="I59">
        <v>3532</v>
      </c>
      <c r="J59">
        <v>51</v>
      </c>
      <c r="K59">
        <v>70</v>
      </c>
    </row>
    <row r="60" spans="1:11" x14ac:dyDescent="0.3">
      <c r="A60" t="s">
        <v>916</v>
      </c>
      <c r="B60" t="s">
        <v>917</v>
      </c>
      <c r="C60">
        <v>123</v>
      </c>
      <c r="D60" t="s">
        <v>28</v>
      </c>
      <c r="E60" s="1">
        <v>45037</v>
      </c>
      <c r="G60">
        <v>187000</v>
      </c>
      <c r="I60">
        <v>3117</v>
      </c>
      <c r="J60">
        <v>63</v>
      </c>
      <c r="K60">
        <v>82</v>
      </c>
    </row>
    <row r="61" spans="1:11" x14ac:dyDescent="0.3">
      <c r="A61" t="s">
        <v>1292</v>
      </c>
      <c r="B61" t="s">
        <v>1293</v>
      </c>
      <c r="C61">
        <v>133</v>
      </c>
      <c r="D61" t="s">
        <v>15</v>
      </c>
      <c r="E61" s="1">
        <v>45198</v>
      </c>
      <c r="G61">
        <v>184000</v>
      </c>
      <c r="I61">
        <v>3758</v>
      </c>
      <c r="J61">
        <v>63</v>
      </c>
      <c r="K61">
        <v>67</v>
      </c>
    </row>
    <row r="62" spans="1:11" x14ac:dyDescent="0.3">
      <c r="A62" t="s">
        <v>1619</v>
      </c>
      <c r="B62" t="s">
        <v>1620</v>
      </c>
      <c r="C62">
        <v>142</v>
      </c>
      <c r="D62" t="s">
        <v>15</v>
      </c>
      <c r="E62" s="1">
        <v>44666</v>
      </c>
      <c r="G62">
        <v>183000</v>
      </c>
      <c r="I62">
        <v>5046</v>
      </c>
      <c r="J62">
        <v>47</v>
      </c>
      <c r="K62">
        <v>46</v>
      </c>
    </row>
    <row r="63" spans="1:11" x14ac:dyDescent="0.3">
      <c r="A63" t="s">
        <v>775</v>
      </c>
      <c r="B63" t="s">
        <v>776</v>
      </c>
      <c r="C63">
        <v>132</v>
      </c>
      <c r="D63" t="s">
        <v>28</v>
      </c>
      <c r="E63" s="1">
        <v>45651</v>
      </c>
      <c r="G63">
        <v>182000</v>
      </c>
      <c r="I63">
        <v>3569</v>
      </c>
      <c r="J63">
        <v>78</v>
      </c>
      <c r="K63">
        <v>85</v>
      </c>
    </row>
    <row r="64" spans="1:11" x14ac:dyDescent="0.3">
      <c r="A64" t="s">
        <v>472</v>
      </c>
      <c r="B64" t="s">
        <v>473</v>
      </c>
      <c r="C64">
        <v>111</v>
      </c>
      <c r="D64" t="s">
        <v>28</v>
      </c>
      <c r="E64" s="1">
        <v>45021</v>
      </c>
      <c r="G64">
        <v>182000</v>
      </c>
      <c r="J64">
        <v>73</v>
      </c>
      <c r="K64">
        <v>93</v>
      </c>
    </row>
    <row r="65" spans="1:11" x14ac:dyDescent="0.3">
      <c r="A65" t="s">
        <v>779</v>
      </c>
      <c r="B65" t="s">
        <v>780</v>
      </c>
      <c r="C65">
        <v>101</v>
      </c>
      <c r="D65" t="s">
        <v>28</v>
      </c>
      <c r="E65" s="1">
        <v>45485</v>
      </c>
      <c r="G65">
        <v>180000</v>
      </c>
      <c r="J65">
        <v>77</v>
      </c>
      <c r="K65">
        <v>85</v>
      </c>
    </row>
    <row r="66" spans="1:11" x14ac:dyDescent="0.3">
      <c r="A66" t="s">
        <v>33</v>
      </c>
      <c r="B66" t="s">
        <v>34</v>
      </c>
      <c r="C66">
        <v>95</v>
      </c>
      <c r="D66" t="s">
        <v>28</v>
      </c>
      <c r="E66" s="1">
        <v>45135</v>
      </c>
      <c r="G66">
        <v>179000</v>
      </c>
      <c r="I66">
        <v>3665</v>
      </c>
      <c r="J66">
        <v>76</v>
      </c>
      <c r="K66">
        <v>94</v>
      </c>
    </row>
    <row r="67" spans="1:11" x14ac:dyDescent="0.3">
      <c r="A67" t="s">
        <v>1258</v>
      </c>
      <c r="B67" t="s">
        <v>1259</v>
      </c>
      <c r="C67">
        <v>159</v>
      </c>
      <c r="D67" t="s">
        <v>15</v>
      </c>
      <c r="E67" s="1">
        <v>44784</v>
      </c>
      <c r="G67">
        <v>179000</v>
      </c>
      <c r="J67">
        <v>46</v>
      </c>
      <c r="K67">
        <v>69</v>
      </c>
    </row>
    <row r="68" spans="1:11" x14ac:dyDescent="0.3">
      <c r="A68" t="s">
        <v>324</v>
      </c>
      <c r="B68" t="s">
        <v>325</v>
      </c>
      <c r="C68">
        <v>187</v>
      </c>
      <c r="D68" t="s">
        <v>63</v>
      </c>
      <c r="E68" s="1">
        <v>44645</v>
      </c>
      <c r="G68">
        <v>177000</v>
      </c>
      <c r="J68">
        <v>83</v>
      </c>
      <c r="K68">
        <v>96</v>
      </c>
    </row>
    <row r="69" spans="1:11" x14ac:dyDescent="0.3">
      <c r="A69" t="s">
        <v>908</v>
      </c>
      <c r="B69" t="s">
        <v>909</v>
      </c>
      <c r="C69">
        <v>116</v>
      </c>
      <c r="D69" t="s">
        <v>12</v>
      </c>
      <c r="E69" s="1">
        <v>45275</v>
      </c>
      <c r="G69">
        <v>175000</v>
      </c>
      <c r="I69">
        <v>4336</v>
      </c>
      <c r="J69">
        <v>66</v>
      </c>
      <c r="K69">
        <v>82</v>
      </c>
    </row>
    <row r="70" spans="1:11" x14ac:dyDescent="0.3">
      <c r="A70" t="s">
        <v>286</v>
      </c>
      <c r="B70" t="s">
        <v>287</v>
      </c>
      <c r="C70">
        <v>151</v>
      </c>
      <c r="D70" t="s">
        <v>28</v>
      </c>
      <c r="E70" s="1">
        <v>45373</v>
      </c>
      <c r="G70">
        <v>172000</v>
      </c>
      <c r="I70">
        <v>3230</v>
      </c>
      <c r="J70">
        <v>86</v>
      </c>
      <c r="K70">
        <v>96</v>
      </c>
    </row>
    <row r="71" spans="1:11" x14ac:dyDescent="0.3">
      <c r="A71" t="s">
        <v>1436</v>
      </c>
      <c r="B71" t="s">
        <v>1437</v>
      </c>
      <c r="C71">
        <v>158</v>
      </c>
      <c r="D71" t="s">
        <v>28</v>
      </c>
      <c r="E71" s="1">
        <v>45252</v>
      </c>
      <c r="G71">
        <v>171000</v>
      </c>
      <c r="J71">
        <v>64</v>
      </c>
      <c r="K71">
        <v>58</v>
      </c>
    </row>
    <row r="72" spans="1:11" x14ac:dyDescent="0.3">
      <c r="A72" t="s">
        <v>1032</v>
      </c>
      <c r="B72" t="s">
        <v>1033</v>
      </c>
      <c r="C72">
        <v>112</v>
      </c>
      <c r="D72" t="s">
        <v>15</v>
      </c>
      <c r="E72" s="1">
        <v>44645</v>
      </c>
      <c r="G72">
        <v>169000</v>
      </c>
      <c r="I72">
        <v>3943</v>
      </c>
      <c r="J72">
        <v>60</v>
      </c>
      <c r="K72">
        <v>78</v>
      </c>
    </row>
    <row r="73" spans="1:11" x14ac:dyDescent="0.3">
      <c r="A73" t="s">
        <v>190</v>
      </c>
      <c r="B73" t="s">
        <v>191</v>
      </c>
      <c r="C73">
        <v>124</v>
      </c>
      <c r="D73" t="s">
        <v>15</v>
      </c>
      <c r="E73" s="1">
        <v>45261</v>
      </c>
      <c r="G73">
        <v>168000</v>
      </c>
      <c r="I73">
        <v>3082</v>
      </c>
      <c r="J73">
        <v>81</v>
      </c>
      <c r="K73">
        <v>99</v>
      </c>
    </row>
    <row r="74" spans="1:11" x14ac:dyDescent="0.3">
      <c r="A74" t="s">
        <v>721</v>
      </c>
      <c r="B74" t="s">
        <v>722</v>
      </c>
      <c r="C74">
        <v>107</v>
      </c>
      <c r="D74" t="s">
        <v>28</v>
      </c>
      <c r="E74" s="1">
        <v>44673</v>
      </c>
      <c r="G74">
        <v>168000</v>
      </c>
      <c r="J74">
        <v>68</v>
      </c>
      <c r="K74">
        <v>87</v>
      </c>
    </row>
    <row r="75" spans="1:11" x14ac:dyDescent="0.3">
      <c r="A75" t="s">
        <v>1294</v>
      </c>
      <c r="B75" t="s">
        <v>1295</v>
      </c>
      <c r="C75">
        <v>135</v>
      </c>
      <c r="D75" t="s">
        <v>12</v>
      </c>
      <c r="E75" s="1">
        <v>45072</v>
      </c>
      <c r="G75">
        <v>167000</v>
      </c>
      <c r="I75">
        <v>3281</v>
      </c>
      <c r="J75">
        <v>59</v>
      </c>
      <c r="K75">
        <v>67</v>
      </c>
    </row>
    <row r="76" spans="1:11" x14ac:dyDescent="0.3">
      <c r="A76" t="s">
        <v>116</v>
      </c>
      <c r="B76" t="s">
        <v>117</v>
      </c>
      <c r="C76">
        <v>121</v>
      </c>
      <c r="D76" t="s">
        <v>28</v>
      </c>
      <c r="E76" s="1">
        <v>45372</v>
      </c>
      <c r="G76">
        <v>166000</v>
      </c>
      <c r="J76">
        <v>57</v>
      </c>
      <c r="K76">
        <v>50</v>
      </c>
    </row>
    <row r="77" spans="1:11" x14ac:dyDescent="0.3">
      <c r="A77" t="s">
        <v>372</v>
      </c>
      <c r="B77" t="s">
        <v>373</v>
      </c>
      <c r="C77">
        <v>100</v>
      </c>
      <c r="D77" t="s">
        <v>12</v>
      </c>
      <c r="E77" s="1">
        <v>44631</v>
      </c>
      <c r="G77">
        <v>164000</v>
      </c>
      <c r="I77">
        <v>5741</v>
      </c>
      <c r="J77">
        <v>83</v>
      </c>
      <c r="K77">
        <v>95</v>
      </c>
    </row>
    <row r="78" spans="1:11" x14ac:dyDescent="0.3">
      <c r="A78" t="s">
        <v>1982</v>
      </c>
      <c r="B78" t="s">
        <v>1983</v>
      </c>
      <c r="C78">
        <v>104</v>
      </c>
      <c r="D78" t="s">
        <v>15</v>
      </c>
      <c r="E78" s="1">
        <v>44652</v>
      </c>
      <c r="F78">
        <v>5.0999999999999996</v>
      </c>
      <c r="G78">
        <v>163000</v>
      </c>
      <c r="I78">
        <v>4764</v>
      </c>
      <c r="J78">
        <v>35</v>
      </c>
      <c r="K78">
        <v>15</v>
      </c>
    </row>
    <row r="79" spans="1:11" x14ac:dyDescent="0.3">
      <c r="A79" t="s">
        <v>1746</v>
      </c>
      <c r="B79" t="s">
        <v>1747</v>
      </c>
      <c r="C79">
        <v>123</v>
      </c>
      <c r="D79" t="s">
        <v>28</v>
      </c>
      <c r="E79" s="1">
        <v>44827</v>
      </c>
      <c r="G79">
        <v>163000</v>
      </c>
      <c r="J79">
        <v>48</v>
      </c>
      <c r="K79">
        <v>38</v>
      </c>
    </row>
    <row r="80" spans="1:11" x14ac:dyDescent="0.3">
      <c r="A80" t="s">
        <v>1112</v>
      </c>
      <c r="B80" t="s">
        <v>1113</v>
      </c>
      <c r="C80">
        <v>122</v>
      </c>
      <c r="D80" t="s">
        <v>15</v>
      </c>
      <c r="E80" s="1">
        <v>45492</v>
      </c>
      <c r="G80">
        <v>162000</v>
      </c>
      <c r="J80">
        <v>65</v>
      </c>
      <c r="K80">
        <v>75</v>
      </c>
    </row>
    <row r="81" spans="1:11" x14ac:dyDescent="0.3">
      <c r="A81" t="s">
        <v>448</v>
      </c>
      <c r="B81" t="s">
        <v>449</v>
      </c>
      <c r="C81">
        <v>139</v>
      </c>
      <c r="D81" t="s">
        <v>28</v>
      </c>
      <c r="E81" s="1">
        <v>45604</v>
      </c>
      <c r="G81">
        <v>162000</v>
      </c>
      <c r="J81">
        <v>91</v>
      </c>
      <c r="K81">
        <v>93</v>
      </c>
    </row>
    <row r="82" spans="1:11" x14ac:dyDescent="0.3">
      <c r="A82" t="s">
        <v>986</v>
      </c>
      <c r="B82" t="s">
        <v>987</v>
      </c>
      <c r="C82">
        <v>122</v>
      </c>
      <c r="D82" t="s">
        <v>28</v>
      </c>
      <c r="E82" s="1">
        <v>45093</v>
      </c>
      <c r="G82">
        <v>162000</v>
      </c>
      <c r="J82">
        <v>57</v>
      </c>
      <c r="K82">
        <v>80</v>
      </c>
    </row>
    <row r="83" spans="1:11" x14ac:dyDescent="0.3">
      <c r="A83" t="s">
        <v>474</v>
      </c>
      <c r="B83" t="s">
        <v>475</v>
      </c>
      <c r="C83">
        <v>102</v>
      </c>
      <c r="D83" t="s">
        <v>15</v>
      </c>
      <c r="E83" s="1">
        <v>44932</v>
      </c>
      <c r="G83">
        <v>161000</v>
      </c>
      <c r="I83">
        <v>4749</v>
      </c>
      <c r="J83">
        <v>72</v>
      </c>
      <c r="K83">
        <v>93</v>
      </c>
    </row>
    <row r="84" spans="1:11" x14ac:dyDescent="0.3">
      <c r="A84" t="s">
        <v>657</v>
      </c>
      <c r="B84" t="s">
        <v>658</v>
      </c>
      <c r="C84">
        <v>119</v>
      </c>
      <c r="D84" t="s">
        <v>15</v>
      </c>
      <c r="E84" s="1">
        <v>45639</v>
      </c>
      <c r="G84">
        <v>161000</v>
      </c>
      <c r="J84">
        <v>69</v>
      </c>
      <c r="K84">
        <v>88</v>
      </c>
    </row>
    <row r="85" spans="1:11" x14ac:dyDescent="0.3">
      <c r="A85" t="s">
        <v>598</v>
      </c>
      <c r="B85" t="s">
        <v>599</v>
      </c>
      <c r="C85">
        <v>144</v>
      </c>
      <c r="D85" t="s">
        <v>28</v>
      </c>
      <c r="E85" s="1">
        <v>45295</v>
      </c>
      <c r="G85">
        <v>160000</v>
      </c>
      <c r="I85">
        <v>3461</v>
      </c>
      <c r="J85">
        <v>72</v>
      </c>
      <c r="K85">
        <v>90</v>
      </c>
    </row>
    <row r="86" spans="1:11" x14ac:dyDescent="0.3">
      <c r="A86" t="s">
        <v>920</v>
      </c>
      <c r="B86" t="s">
        <v>921</v>
      </c>
      <c r="C86">
        <v>146</v>
      </c>
      <c r="D86" t="s">
        <v>18</v>
      </c>
      <c r="E86" s="1">
        <v>44951</v>
      </c>
      <c r="G86">
        <v>160000</v>
      </c>
      <c r="J86">
        <v>47</v>
      </c>
      <c r="K86">
        <v>82</v>
      </c>
    </row>
    <row r="87" spans="1:11" x14ac:dyDescent="0.3">
      <c r="A87" t="s">
        <v>1819</v>
      </c>
      <c r="B87" t="s">
        <v>1820</v>
      </c>
      <c r="C87">
        <v>138</v>
      </c>
      <c r="D87" t="s">
        <v>28</v>
      </c>
      <c r="E87" s="1">
        <v>45569</v>
      </c>
      <c r="F87">
        <v>5.2</v>
      </c>
      <c r="G87">
        <v>157000</v>
      </c>
      <c r="H87">
        <v>5.4</v>
      </c>
      <c r="J87">
        <v>45</v>
      </c>
      <c r="K87">
        <v>31</v>
      </c>
    </row>
    <row r="88" spans="1:11" x14ac:dyDescent="0.3">
      <c r="A88" t="s">
        <v>1344</v>
      </c>
      <c r="B88" t="s">
        <v>1345</v>
      </c>
      <c r="C88">
        <v>157</v>
      </c>
      <c r="D88" t="s">
        <v>15</v>
      </c>
      <c r="E88" s="1">
        <v>45247</v>
      </c>
      <c r="G88">
        <v>155000</v>
      </c>
      <c r="I88">
        <v>3456</v>
      </c>
      <c r="J88">
        <v>54</v>
      </c>
      <c r="K88">
        <v>64</v>
      </c>
    </row>
    <row r="89" spans="1:11" x14ac:dyDescent="0.3">
      <c r="A89" t="s">
        <v>228</v>
      </c>
      <c r="B89" t="s">
        <v>229</v>
      </c>
      <c r="C89">
        <v>102</v>
      </c>
      <c r="D89" t="s">
        <v>12</v>
      </c>
      <c r="E89" s="1">
        <v>45562</v>
      </c>
      <c r="G89">
        <v>154000</v>
      </c>
      <c r="I89">
        <v>5900</v>
      </c>
      <c r="J89">
        <v>85</v>
      </c>
      <c r="K89">
        <v>97</v>
      </c>
    </row>
    <row r="90" spans="1:11" x14ac:dyDescent="0.3">
      <c r="A90" t="s">
        <v>800</v>
      </c>
      <c r="B90" t="s">
        <v>801</v>
      </c>
      <c r="C90">
        <v>96</v>
      </c>
      <c r="D90" t="s">
        <v>28</v>
      </c>
      <c r="E90" s="1">
        <v>45037</v>
      </c>
      <c r="G90">
        <v>154000</v>
      </c>
      <c r="I90">
        <v>3595</v>
      </c>
      <c r="J90">
        <v>69</v>
      </c>
      <c r="K90">
        <v>85</v>
      </c>
    </row>
    <row r="91" spans="1:11" x14ac:dyDescent="0.3">
      <c r="A91" t="s">
        <v>426</v>
      </c>
      <c r="B91" t="s">
        <v>427</v>
      </c>
      <c r="C91">
        <v>117</v>
      </c>
      <c r="D91" t="s">
        <v>28</v>
      </c>
      <c r="E91" s="1">
        <v>44720</v>
      </c>
      <c r="G91">
        <v>154000</v>
      </c>
      <c r="J91">
        <v>68</v>
      </c>
      <c r="K91">
        <v>94</v>
      </c>
    </row>
    <row r="92" spans="1:11" x14ac:dyDescent="0.3">
      <c r="A92" t="s">
        <v>1216</v>
      </c>
      <c r="B92" t="s">
        <v>1217</v>
      </c>
      <c r="C92">
        <v>105</v>
      </c>
      <c r="D92" t="s">
        <v>28</v>
      </c>
      <c r="E92" s="1">
        <v>45303</v>
      </c>
      <c r="G92">
        <v>153000</v>
      </c>
      <c r="I92">
        <v>4117</v>
      </c>
      <c r="J92">
        <v>53</v>
      </c>
      <c r="K92">
        <v>71</v>
      </c>
    </row>
    <row r="93" spans="1:11" x14ac:dyDescent="0.3">
      <c r="A93" t="s">
        <v>130</v>
      </c>
      <c r="B93" t="s">
        <v>131</v>
      </c>
      <c r="C93">
        <v>109</v>
      </c>
      <c r="D93" t="s">
        <v>12</v>
      </c>
      <c r="E93" s="1">
        <v>45737</v>
      </c>
      <c r="F93">
        <v>1.6</v>
      </c>
      <c r="G93">
        <v>152000</v>
      </c>
      <c r="H93">
        <v>4.3</v>
      </c>
      <c r="J93">
        <v>50</v>
      </c>
      <c r="K93">
        <v>39</v>
      </c>
    </row>
    <row r="94" spans="1:11" x14ac:dyDescent="0.3">
      <c r="A94" t="s">
        <v>667</v>
      </c>
      <c r="B94" t="s">
        <v>668</v>
      </c>
      <c r="C94">
        <v>131</v>
      </c>
      <c r="D94" t="s">
        <v>28</v>
      </c>
      <c r="E94" s="1">
        <v>45408</v>
      </c>
      <c r="G94">
        <v>152000</v>
      </c>
      <c r="J94">
        <v>82</v>
      </c>
      <c r="K94">
        <v>88</v>
      </c>
    </row>
    <row r="95" spans="1:11" x14ac:dyDescent="0.3">
      <c r="A95" t="s">
        <v>980</v>
      </c>
      <c r="B95" t="s">
        <v>981</v>
      </c>
      <c r="C95">
        <v>145</v>
      </c>
      <c r="D95" t="s">
        <v>15</v>
      </c>
      <c r="E95" s="1">
        <v>45422</v>
      </c>
      <c r="G95">
        <v>150000</v>
      </c>
      <c r="I95">
        <v>4194</v>
      </c>
      <c r="J95">
        <v>66</v>
      </c>
      <c r="K95">
        <v>80</v>
      </c>
    </row>
    <row r="96" spans="1:11" x14ac:dyDescent="0.3">
      <c r="A96" t="s">
        <v>354</v>
      </c>
      <c r="B96" t="s">
        <v>355</v>
      </c>
      <c r="C96">
        <v>105</v>
      </c>
      <c r="D96" t="s">
        <v>15</v>
      </c>
      <c r="E96" s="1">
        <v>45100</v>
      </c>
      <c r="G96">
        <v>149000</v>
      </c>
      <c r="J96">
        <v>94</v>
      </c>
      <c r="K96">
        <v>95</v>
      </c>
    </row>
    <row r="97" spans="1:11" x14ac:dyDescent="0.3">
      <c r="A97" t="s">
        <v>1162</v>
      </c>
      <c r="B97" t="s">
        <v>1163</v>
      </c>
      <c r="C97">
        <v>101</v>
      </c>
      <c r="D97" t="s">
        <v>12</v>
      </c>
      <c r="E97" s="1">
        <v>45093</v>
      </c>
      <c r="G97">
        <v>148000</v>
      </c>
      <c r="I97">
        <v>5237</v>
      </c>
      <c r="J97">
        <v>58</v>
      </c>
      <c r="K97">
        <v>73</v>
      </c>
    </row>
    <row r="98" spans="1:11" x14ac:dyDescent="0.3">
      <c r="A98" t="s">
        <v>659</v>
      </c>
      <c r="B98" t="s">
        <v>660</v>
      </c>
      <c r="C98">
        <v>160</v>
      </c>
      <c r="D98" t="s">
        <v>12</v>
      </c>
      <c r="E98" s="1">
        <v>45618</v>
      </c>
      <c r="G98">
        <v>147000</v>
      </c>
      <c r="J98">
        <v>73</v>
      </c>
      <c r="K98">
        <v>88</v>
      </c>
    </row>
    <row r="99" spans="1:11" x14ac:dyDescent="0.3">
      <c r="A99" t="s">
        <v>1356</v>
      </c>
      <c r="B99" t="s">
        <v>1357</v>
      </c>
      <c r="C99">
        <v>105</v>
      </c>
      <c r="D99" t="s">
        <v>15</v>
      </c>
      <c r="E99" s="1">
        <v>45240</v>
      </c>
      <c r="G99">
        <v>146000</v>
      </c>
      <c r="I99">
        <v>3306</v>
      </c>
      <c r="J99">
        <v>50</v>
      </c>
      <c r="K99">
        <v>63</v>
      </c>
    </row>
    <row r="100" spans="1:11" x14ac:dyDescent="0.3">
      <c r="A100" t="s">
        <v>737</v>
      </c>
      <c r="B100" t="s">
        <v>738</v>
      </c>
      <c r="C100">
        <v>99</v>
      </c>
      <c r="D100" t="s">
        <v>15</v>
      </c>
      <c r="E100" s="1">
        <v>45471</v>
      </c>
      <c r="G100">
        <v>146000</v>
      </c>
      <c r="I100">
        <v>3266</v>
      </c>
      <c r="J100">
        <v>68</v>
      </c>
      <c r="K100">
        <v>86</v>
      </c>
    </row>
    <row r="101" spans="1:11" x14ac:dyDescent="0.3">
      <c r="A101" t="s">
        <v>1787</v>
      </c>
      <c r="B101" t="s">
        <v>1788</v>
      </c>
      <c r="C101">
        <v>125</v>
      </c>
      <c r="D101" t="s">
        <v>15</v>
      </c>
      <c r="E101" s="1">
        <v>44757</v>
      </c>
      <c r="G101">
        <v>145000</v>
      </c>
      <c r="J101">
        <v>43</v>
      </c>
      <c r="K101">
        <v>34</v>
      </c>
    </row>
    <row r="102" spans="1:11" x14ac:dyDescent="0.3">
      <c r="A102" t="s">
        <v>1474</v>
      </c>
      <c r="B102" t="s">
        <v>1475</v>
      </c>
      <c r="C102">
        <v>141</v>
      </c>
      <c r="D102" t="s">
        <v>15</v>
      </c>
      <c r="E102" s="1">
        <v>45065</v>
      </c>
      <c r="I102">
        <v>6258</v>
      </c>
      <c r="J102">
        <v>56</v>
      </c>
      <c r="K102">
        <v>56</v>
      </c>
    </row>
    <row r="103" spans="1:11" x14ac:dyDescent="0.3">
      <c r="A103" t="s">
        <v>1264</v>
      </c>
      <c r="B103" t="s">
        <v>1265</v>
      </c>
      <c r="C103">
        <v>122</v>
      </c>
      <c r="D103" t="s">
        <v>12</v>
      </c>
      <c r="E103" s="1">
        <v>44659</v>
      </c>
      <c r="I103">
        <v>5818</v>
      </c>
      <c r="J103">
        <v>47</v>
      </c>
      <c r="K103">
        <v>69</v>
      </c>
    </row>
    <row r="104" spans="1:11" x14ac:dyDescent="0.3">
      <c r="A104" t="s">
        <v>1540</v>
      </c>
      <c r="B104" t="s">
        <v>1541</v>
      </c>
      <c r="C104">
        <v>127</v>
      </c>
      <c r="D104" t="s">
        <v>15</v>
      </c>
      <c r="E104" s="1">
        <v>45086</v>
      </c>
      <c r="I104">
        <v>5222</v>
      </c>
      <c r="J104">
        <v>42</v>
      </c>
      <c r="K104">
        <v>51</v>
      </c>
    </row>
    <row r="105" spans="1:11" x14ac:dyDescent="0.3">
      <c r="A105" t="s">
        <v>1797</v>
      </c>
      <c r="B105" t="s">
        <v>1798</v>
      </c>
      <c r="C105">
        <v>109</v>
      </c>
      <c r="D105" t="s">
        <v>15</v>
      </c>
      <c r="E105" s="1">
        <v>45226</v>
      </c>
      <c r="I105">
        <v>4959</v>
      </c>
      <c r="J105">
        <v>33</v>
      </c>
      <c r="K105">
        <v>33</v>
      </c>
    </row>
    <row r="106" spans="1:11" x14ac:dyDescent="0.3">
      <c r="A106" t="s">
        <v>1506</v>
      </c>
      <c r="B106" t="s">
        <v>1507</v>
      </c>
      <c r="C106">
        <v>115</v>
      </c>
      <c r="D106" t="s">
        <v>15</v>
      </c>
      <c r="E106" s="1">
        <v>45380</v>
      </c>
      <c r="I106">
        <v>4590</v>
      </c>
      <c r="J106">
        <v>47</v>
      </c>
      <c r="K106">
        <v>54</v>
      </c>
    </row>
    <row r="107" spans="1:11" x14ac:dyDescent="0.3">
      <c r="A107" t="s">
        <v>1010</v>
      </c>
      <c r="B107" t="s">
        <v>1011</v>
      </c>
      <c r="C107">
        <v>107</v>
      </c>
      <c r="D107" t="s">
        <v>15</v>
      </c>
      <c r="E107" s="1">
        <v>44785</v>
      </c>
      <c r="I107">
        <v>4457</v>
      </c>
      <c r="J107">
        <v>62</v>
      </c>
      <c r="K107">
        <v>79</v>
      </c>
    </row>
    <row r="108" spans="1:11" x14ac:dyDescent="0.3">
      <c r="A108" t="s">
        <v>1698</v>
      </c>
      <c r="B108" t="s">
        <v>1699</v>
      </c>
      <c r="C108">
        <v>110</v>
      </c>
      <c r="D108" t="s">
        <v>15</v>
      </c>
      <c r="E108" s="1">
        <v>45590</v>
      </c>
      <c r="I108">
        <v>4111</v>
      </c>
      <c r="J108">
        <v>41</v>
      </c>
      <c r="K108">
        <v>40</v>
      </c>
    </row>
    <row r="109" spans="1:11" x14ac:dyDescent="0.3">
      <c r="A109" t="s">
        <v>1260</v>
      </c>
      <c r="B109" t="s">
        <v>1261</v>
      </c>
      <c r="C109">
        <v>87</v>
      </c>
      <c r="D109" t="s">
        <v>12</v>
      </c>
      <c r="E109" s="1">
        <v>44743</v>
      </c>
      <c r="I109">
        <v>3985</v>
      </c>
      <c r="J109">
        <v>56</v>
      </c>
      <c r="K109">
        <v>69</v>
      </c>
    </row>
    <row r="110" spans="1:11" x14ac:dyDescent="0.3">
      <c r="A110" t="s">
        <v>1878</v>
      </c>
      <c r="B110" t="s">
        <v>1879</v>
      </c>
      <c r="C110">
        <v>116</v>
      </c>
      <c r="D110" t="s">
        <v>15</v>
      </c>
      <c r="E110" s="1">
        <v>45142</v>
      </c>
      <c r="F110">
        <v>5</v>
      </c>
      <c r="I110">
        <v>3917</v>
      </c>
      <c r="J110">
        <v>40</v>
      </c>
      <c r="K110">
        <v>27</v>
      </c>
    </row>
    <row r="111" spans="1:11" x14ac:dyDescent="0.3">
      <c r="A111" t="s">
        <v>1144</v>
      </c>
      <c r="B111" t="s">
        <v>1145</v>
      </c>
      <c r="C111">
        <v>105</v>
      </c>
      <c r="D111" t="s">
        <v>12</v>
      </c>
      <c r="E111" s="1">
        <v>44729</v>
      </c>
      <c r="I111">
        <v>3754</v>
      </c>
      <c r="J111">
        <v>60</v>
      </c>
      <c r="K111">
        <v>74</v>
      </c>
    </row>
    <row r="112" spans="1:11" x14ac:dyDescent="0.3">
      <c r="A112" t="s">
        <v>1088</v>
      </c>
      <c r="B112" t="s">
        <v>1089</v>
      </c>
      <c r="C112">
        <v>109</v>
      </c>
      <c r="D112" t="s">
        <v>28</v>
      </c>
      <c r="E112" s="1">
        <v>45170</v>
      </c>
      <c r="I112">
        <v>3647</v>
      </c>
      <c r="J112">
        <v>58</v>
      </c>
      <c r="K112">
        <v>76</v>
      </c>
    </row>
    <row r="113" spans="1:11" x14ac:dyDescent="0.3">
      <c r="A113" t="s">
        <v>1561</v>
      </c>
      <c r="B113" t="s">
        <v>1562</v>
      </c>
      <c r="C113">
        <v>130</v>
      </c>
      <c r="D113" t="s">
        <v>15</v>
      </c>
      <c r="E113" s="1">
        <v>45002</v>
      </c>
      <c r="I113">
        <v>3598</v>
      </c>
      <c r="J113">
        <v>47</v>
      </c>
      <c r="K113">
        <v>49</v>
      </c>
    </row>
    <row r="114" spans="1:11" x14ac:dyDescent="0.3">
      <c r="A114" t="s">
        <v>1370</v>
      </c>
      <c r="B114" t="s">
        <v>1371</v>
      </c>
      <c r="C114">
        <v>127</v>
      </c>
      <c r="D114" t="s">
        <v>15</v>
      </c>
      <c r="E114" s="1">
        <v>45702</v>
      </c>
      <c r="I114">
        <v>3586</v>
      </c>
      <c r="J114">
        <v>57</v>
      </c>
      <c r="K114">
        <v>62</v>
      </c>
    </row>
    <row r="115" spans="1:11" x14ac:dyDescent="0.3">
      <c r="A115" t="s">
        <v>1214</v>
      </c>
      <c r="B115" t="s">
        <v>1215</v>
      </c>
      <c r="C115">
        <v>94</v>
      </c>
      <c r="D115" t="s">
        <v>12</v>
      </c>
      <c r="E115" s="1">
        <v>45359</v>
      </c>
      <c r="I115">
        <v>3449</v>
      </c>
      <c r="J115">
        <v>54</v>
      </c>
      <c r="K115">
        <v>71</v>
      </c>
    </row>
    <row r="116" spans="1:11" x14ac:dyDescent="0.3">
      <c r="A116" t="s">
        <v>1795</v>
      </c>
      <c r="B116" t="s">
        <v>1796</v>
      </c>
      <c r="C116">
        <v>124</v>
      </c>
      <c r="D116" t="s">
        <v>15</v>
      </c>
      <c r="E116" s="1">
        <v>45282</v>
      </c>
      <c r="I116">
        <v>3440</v>
      </c>
      <c r="J116">
        <v>42</v>
      </c>
      <c r="K116">
        <v>33</v>
      </c>
    </row>
    <row r="117" spans="1:11" x14ac:dyDescent="0.3">
      <c r="A117" t="s">
        <v>1012</v>
      </c>
      <c r="B117" t="s">
        <v>1013</v>
      </c>
      <c r="C117">
        <v>137</v>
      </c>
      <c r="D117" t="s">
        <v>28</v>
      </c>
      <c r="E117" s="1">
        <v>45723</v>
      </c>
      <c r="I117">
        <v>3434</v>
      </c>
      <c r="J117">
        <v>72</v>
      </c>
      <c r="K117">
        <v>78</v>
      </c>
    </row>
    <row r="118" spans="1:11" x14ac:dyDescent="0.3">
      <c r="A118" t="s">
        <v>102</v>
      </c>
      <c r="B118" t="s">
        <v>103</v>
      </c>
      <c r="C118">
        <v>134</v>
      </c>
      <c r="D118" t="s">
        <v>15</v>
      </c>
      <c r="E118" s="1">
        <v>45163</v>
      </c>
      <c r="I118">
        <v>3331</v>
      </c>
      <c r="J118">
        <v>48</v>
      </c>
      <c r="K118">
        <v>65</v>
      </c>
    </row>
    <row r="119" spans="1:11" x14ac:dyDescent="0.3">
      <c r="A119" t="s">
        <v>452</v>
      </c>
      <c r="B119" t="s">
        <v>453</v>
      </c>
      <c r="C119">
        <v>120</v>
      </c>
      <c r="D119" t="s">
        <v>12</v>
      </c>
      <c r="E119" s="1">
        <v>45590</v>
      </c>
      <c r="I119">
        <v>3323</v>
      </c>
      <c r="J119">
        <v>79</v>
      </c>
      <c r="K119">
        <v>93</v>
      </c>
    </row>
    <row r="120" spans="1:11" x14ac:dyDescent="0.3">
      <c r="A120" t="s">
        <v>1884</v>
      </c>
      <c r="B120" t="s">
        <v>1885</v>
      </c>
      <c r="C120">
        <v>117</v>
      </c>
      <c r="D120" t="s">
        <v>12</v>
      </c>
      <c r="E120" s="1">
        <v>44904</v>
      </c>
      <c r="I120">
        <v>3292</v>
      </c>
      <c r="J120">
        <v>79</v>
      </c>
      <c r="K120">
        <v>27</v>
      </c>
    </row>
    <row r="121" spans="1:11" x14ac:dyDescent="0.3">
      <c r="A121" t="s">
        <v>1324</v>
      </c>
      <c r="B121" t="s">
        <v>1325</v>
      </c>
      <c r="C121">
        <v>115</v>
      </c>
      <c r="D121" t="s">
        <v>28</v>
      </c>
      <c r="E121" s="1">
        <v>45450</v>
      </c>
      <c r="I121">
        <v>3278</v>
      </c>
      <c r="J121">
        <v>54</v>
      </c>
      <c r="K121">
        <v>65</v>
      </c>
    </row>
    <row r="122" spans="1:11" x14ac:dyDescent="0.3">
      <c r="A122" t="s">
        <v>729</v>
      </c>
      <c r="B122" t="s">
        <v>730</v>
      </c>
      <c r="C122">
        <v>110</v>
      </c>
      <c r="D122" t="s">
        <v>12</v>
      </c>
      <c r="E122" s="1">
        <v>45646</v>
      </c>
      <c r="I122">
        <v>3213</v>
      </c>
      <c r="J122">
        <v>56</v>
      </c>
      <c r="K122">
        <v>86</v>
      </c>
    </row>
    <row r="123" spans="1:11" x14ac:dyDescent="0.3">
      <c r="A123" t="s">
        <v>1496</v>
      </c>
      <c r="B123" t="s">
        <v>1497</v>
      </c>
      <c r="C123">
        <v>94</v>
      </c>
      <c r="D123" t="s">
        <v>12</v>
      </c>
      <c r="E123" s="1">
        <v>45476</v>
      </c>
      <c r="I123">
        <v>3147</v>
      </c>
      <c r="J123">
        <v>52</v>
      </c>
      <c r="K123">
        <v>55</v>
      </c>
    </row>
    <row r="124" spans="1:11" x14ac:dyDescent="0.3">
      <c r="A124" t="s">
        <v>1052</v>
      </c>
      <c r="B124" t="s">
        <v>1053</v>
      </c>
      <c r="C124">
        <v>122</v>
      </c>
      <c r="D124" t="s">
        <v>28</v>
      </c>
      <c r="E124" s="1">
        <v>44995</v>
      </c>
      <c r="I124">
        <v>3130</v>
      </c>
      <c r="J124">
        <v>61</v>
      </c>
      <c r="K124">
        <v>77</v>
      </c>
    </row>
    <row r="125" spans="1:11" x14ac:dyDescent="0.3">
      <c r="A125" t="s">
        <v>1542</v>
      </c>
      <c r="B125" t="s">
        <v>1543</v>
      </c>
      <c r="C125">
        <v>103</v>
      </c>
      <c r="D125" t="s">
        <v>28</v>
      </c>
      <c r="E125" s="1">
        <v>45030</v>
      </c>
      <c r="I125">
        <v>3108</v>
      </c>
      <c r="J125">
        <v>45</v>
      </c>
      <c r="K125">
        <v>51</v>
      </c>
    </row>
    <row r="126" spans="1:11" x14ac:dyDescent="0.3">
      <c r="A126" t="s">
        <v>802</v>
      </c>
      <c r="B126" t="s">
        <v>803</v>
      </c>
      <c r="C126">
        <v>94</v>
      </c>
      <c r="D126" t="s">
        <v>28</v>
      </c>
      <c r="E126" s="1">
        <v>44904</v>
      </c>
      <c r="F126">
        <v>3.4</v>
      </c>
      <c r="H126">
        <v>2.2000000000000002</v>
      </c>
      <c r="J126">
        <v>64</v>
      </c>
      <c r="K126">
        <v>85</v>
      </c>
    </row>
    <row r="127" spans="1:11" x14ac:dyDescent="0.3">
      <c r="A127" t="s">
        <v>172</v>
      </c>
      <c r="B127" t="s">
        <v>173</v>
      </c>
      <c r="C127">
        <v>118</v>
      </c>
      <c r="D127" t="s">
        <v>28</v>
      </c>
      <c r="E127" s="1">
        <v>45303</v>
      </c>
      <c r="H127">
        <v>3.9</v>
      </c>
      <c r="J127">
        <v>83</v>
      </c>
      <c r="K127">
        <v>100</v>
      </c>
    </row>
    <row r="128" spans="1:11" x14ac:dyDescent="0.3">
      <c r="A128" t="s">
        <v>1756</v>
      </c>
      <c r="B128" t="s">
        <v>1757</v>
      </c>
      <c r="C128">
        <v>104</v>
      </c>
      <c r="D128" t="s">
        <v>28</v>
      </c>
      <c r="E128" s="1">
        <v>45006</v>
      </c>
      <c r="H128">
        <v>4</v>
      </c>
      <c r="J128">
        <v>56</v>
      </c>
      <c r="K128">
        <v>37</v>
      </c>
    </row>
    <row r="129" spans="1:11" x14ac:dyDescent="0.3">
      <c r="A129" t="s">
        <v>1274</v>
      </c>
      <c r="B129" t="s">
        <v>1275</v>
      </c>
      <c r="C129">
        <v>86</v>
      </c>
      <c r="D129" t="s">
        <v>28</v>
      </c>
      <c r="E129" s="1">
        <v>45219</v>
      </c>
      <c r="H129">
        <v>4.3</v>
      </c>
      <c r="J129">
        <v>57</v>
      </c>
      <c r="K129">
        <v>68</v>
      </c>
    </row>
    <row r="130" spans="1:11" x14ac:dyDescent="0.3">
      <c r="A130" t="s">
        <v>1920</v>
      </c>
      <c r="B130" t="s">
        <v>1921</v>
      </c>
      <c r="C130">
        <v>100</v>
      </c>
      <c r="D130" t="s">
        <v>28</v>
      </c>
      <c r="E130" s="1">
        <v>45421</v>
      </c>
      <c r="F130">
        <v>4</v>
      </c>
      <c r="H130">
        <v>4.4000000000000004</v>
      </c>
      <c r="J130">
        <v>29</v>
      </c>
      <c r="K130">
        <v>24</v>
      </c>
    </row>
    <row r="131" spans="1:11" x14ac:dyDescent="0.3">
      <c r="A131" t="s">
        <v>1799</v>
      </c>
      <c r="B131" t="s">
        <v>1800</v>
      </c>
      <c r="C131">
        <v>90</v>
      </c>
      <c r="D131" t="s">
        <v>18</v>
      </c>
      <c r="E131" s="1">
        <v>45194</v>
      </c>
      <c r="H131">
        <v>4.4000000000000004</v>
      </c>
      <c r="J131">
        <v>46</v>
      </c>
      <c r="K131">
        <v>33</v>
      </c>
    </row>
    <row r="132" spans="1:11" x14ac:dyDescent="0.3">
      <c r="A132" t="s">
        <v>1116</v>
      </c>
      <c r="B132" t="s">
        <v>1117</v>
      </c>
      <c r="C132">
        <v>113</v>
      </c>
      <c r="D132" t="s">
        <v>28</v>
      </c>
      <c r="E132" s="1">
        <v>45361</v>
      </c>
      <c r="H132">
        <v>4.4089999999999998</v>
      </c>
      <c r="J132">
        <v>66</v>
      </c>
      <c r="K132">
        <v>75</v>
      </c>
    </row>
    <row r="133" spans="1:11" x14ac:dyDescent="0.3">
      <c r="A133" t="s">
        <v>1124</v>
      </c>
      <c r="B133" t="s">
        <v>1125</v>
      </c>
      <c r="C133">
        <v>110</v>
      </c>
      <c r="D133" t="s">
        <v>18</v>
      </c>
      <c r="E133" s="1">
        <v>45064</v>
      </c>
      <c r="F133">
        <v>3.9</v>
      </c>
      <c r="H133">
        <v>4.5</v>
      </c>
      <c r="J133">
        <v>72</v>
      </c>
      <c r="K133">
        <v>75</v>
      </c>
    </row>
    <row r="134" spans="1:11" x14ac:dyDescent="0.3">
      <c r="A134" t="s">
        <v>1960</v>
      </c>
      <c r="B134" t="s">
        <v>1961</v>
      </c>
      <c r="C134">
        <v>126</v>
      </c>
      <c r="D134" t="s">
        <v>28</v>
      </c>
      <c r="E134" s="1">
        <v>44652</v>
      </c>
      <c r="F134">
        <v>4.7</v>
      </c>
      <c r="H134">
        <v>4.5990000000000002</v>
      </c>
      <c r="J134">
        <v>34</v>
      </c>
      <c r="K134">
        <v>20</v>
      </c>
    </row>
    <row r="135" spans="1:11" x14ac:dyDescent="0.3">
      <c r="A135" t="s">
        <v>1785</v>
      </c>
      <c r="B135" t="s">
        <v>1786</v>
      </c>
      <c r="C135">
        <v>85</v>
      </c>
      <c r="D135" t="s">
        <v>15</v>
      </c>
      <c r="E135" s="1">
        <v>44837</v>
      </c>
      <c r="F135">
        <v>4.4000000000000004</v>
      </c>
      <c r="H135">
        <v>4.5999999999999996</v>
      </c>
      <c r="J135">
        <v>50</v>
      </c>
      <c r="K135">
        <v>34</v>
      </c>
    </row>
    <row r="136" spans="1:11" x14ac:dyDescent="0.3">
      <c r="A136" t="s">
        <v>142</v>
      </c>
      <c r="B136" t="s">
        <v>143</v>
      </c>
      <c r="C136">
        <v>98</v>
      </c>
      <c r="D136" t="s">
        <v>28</v>
      </c>
      <c r="E136" s="1">
        <v>45058</v>
      </c>
      <c r="F136">
        <v>4.7</v>
      </c>
      <c r="H136">
        <v>4.5999999999999996</v>
      </c>
      <c r="J136">
        <v>27</v>
      </c>
      <c r="K136">
        <v>22</v>
      </c>
    </row>
    <row r="137" spans="1:11" x14ac:dyDescent="0.3">
      <c r="A137" t="s">
        <v>1104</v>
      </c>
      <c r="B137" t="s">
        <v>1105</v>
      </c>
      <c r="C137">
        <v>92</v>
      </c>
      <c r="D137" t="s">
        <v>28</v>
      </c>
      <c r="E137" s="1">
        <v>45597</v>
      </c>
      <c r="H137">
        <v>4.5999999999999996</v>
      </c>
      <c r="J137">
        <v>59</v>
      </c>
      <c r="K137">
        <v>75</v>
      </c>
    </row>
    <row r="138" spans="1:11" x14ac:dyDescent="0.3">
      <c r="A138" t="s">
        <v>1801</v>
      </c>
      <c r="B138" t="s">
        <v>1802</v>
      </c>
      <c r="C138">
        <v>104</v>
      </c>
      <c r="D138" t="s">
        <v>63</v>
      </c>
      <c r="E138" s="1">
        <v>44778</v>
      </c>
      <c r="F138">
        <v>4</v>
      </c>
      <c r="H138">
        <v>4.7</v>
      </c>
      <c r="J138">
        <v>46</v>
      </c>
      <c r="K138">
        <v>33</v>
      </c>
    </row>
    <row r="139" spans="1:11" x14ac:dyDescent="0.3">
      <c r="A139" t="s">
        <v>1196</v>
      </c>
      <c r="B139" t="s">
        <v>1197</v>
      </c>
      <c r="C139">
        <v>106</v>
      </c>
      <c r="D139" t="s">
        <v>28</v>
      </c>
      <c r="E139" s="1">
        <v>44806</v>
      </c>
      <c r="H139">
        <v>4.7</v>
      </c>
      <c r="J139">
        <v>63</v>
      </c>
      <c r="K139">
        <v>72</v>
      </c>
    </row>
    <row r="140" spans="1:11" x14ac:dyDescent="0.3">
      <c r="A140" t="s">
        <v>1930</v>
      </c>
      <c r="B140" t="s">
        <v>1931</v>
      </c>
      <c r="C140">
        <v>95</v>
      </c>
      <c r="D140" t="s">
        <v>15</v>
      </c>
      <c r="E140" s="1">
        <v>45681</v>
      </c>
      <c r="F140">
        <v>3.8</v>
      </c>
      <c r="H140">
        <v>4.7190000000000003</v>
      </c>
      <c r="J140">
        <v>37</v>
      </c>
      <c r="K140">
        <v>23</v>
      </c>
    </row>
    <row r="141" spans="1:11" x14ac:dyDescent="0.3">
      <c r="A141" t="s">
        <v>1904</v>
      </c>
      <c r="B141" t="s">
        <v>1905</v>
      </c>
      <c r="C141">
        <v>104</v>
      </c>
      <c r="D141" t="s">
        <v>15</v>
      </c>
      <c r="E141" s="1">
        <v>45366</v>
      </c>
      <c r="F141">
        <v>3.7</v>
      </c>
      <c r="H141">
        <v>4.8</v>
      </c>
      <c r="J141">
        <v>50</v>
      </c>
      <c r="K141">
        <v>25</v>
      </c>
    </row>
    <row r="142" spans="1:11" x14ac:dyDescent="0.3">
      <c r="A142" t="s">
        <v>1536</v>
      </c>
      <c r="B142" t="s">
        <v>1537</v>
      </c>
      <c r="C142">
        <v>103</v>
      </c>
      <c r="D142" t="s">
        <v>28</v>
      </c>
      <c r="E142" s="1">
        <v>45233</v>
      </c>
      <c r="F142">
        <v>4.8</v>
      </c>
      <c r="H142">
        <v>4.8</v>
      </c>
      <c r="J142">
        <v>59</v>
      </c>
      <c r="K142">
        <v>51</v>
      </c>
    </row>
    <row r="143" spans="1:11" x14ac:dyDescent="0.3">
      <c r="A143" t="s">
        <v>1783</v>
      </c>
      <c r="B143" t="s">
        <v>1784</v>
      </c>
      <c r="C143">
        <v>104</v>
      </c>
      <c r="D143" t="s">
        <v>28</v>
      </c>
      <c r="E143" s="1">
        <v>45079</v>
      </c>
      <c r="F143">
        <v>4.5</v>
      </c>
      <c r="H143">
        <v>4.9000000000000004</v>
      </c>
      <c r="J143">
        <v>41</v>
      </c>
      <c r="K143">
        <v>34</v>
      </c>
    </row>
    <row r="144" spans="1:11" x14ac:dyDescent="0.3">
      <c r="A144" t="s">
        <v>1938</v>
      </c>
      <c r="B144" t="s">
        <v>1939</v>
      </c>
      <c r="C144">
        <v>90</v>
      </c>
      <c r="D144" t="s">
        <v>28</v>
      </c>
      <c r="E144" s="1">
        <v>45317</v>
      </c>
      <c r="F144">
        <v>4.7</v>
      </c>
      <c r="H144">
        <v>4.9000000000000004</v>
      </c>
      <c r="J144">
        <v>45</v>
      </c>
      <c r="K144">
        <v>22</v>
      </c>
    </row>
    <row r="145" spans="1:11" x14ac:dyDescent="0.3">
      <c r="A145" t="s">
        <v>1550</v>
      </c>
      <c r="B145" t="s">
        <v>1551</v>
      </c>
      <c r="C145">
        <v>92</v>
      </c>
      <c r="D145" t="s">
        <v>28</v>
      </c>
      <c r="E145" s="1">
        <v>44893</v>
      </c>
      <c r="F145">
        <v>4.9000000000000004</v>
      </c>
      <c r="H145">
        <v>4.9000000000000004</v>
      </c>
      <c r="J145">
        <v>53</v>
      </c>
      <c r="K145">
        <v>50</v>
      </c>
    </row>
    <row r="146" spans="1:11" x14ac:dyDescent="0.3">
      <c r="A146" t="s">
        <v>1593</v>
      </c>
      <c r="B146" t="s">
        <v>1594</v>
      </c>
      <c r="C146">
        <v>104</v>
      </c>
      <c r="D146" t="s">
        <v>25</v>
      </c>
      <c r="E146" s="1">
        <v>44792</v>
      </c>
      <c r="H146">
        <v>4.9000000000000004</v>
      </c>
      <c r="J146">
        <v>58</v>
      </c>
      <c r="K146">
        <v>47</v>
      </c>
    </row>
    <row r="147" spans="1:11" x14ac:dyDescent="0.3">
      <c r="A147" t="s">
        <v>1934</v>
      </c>
      <c r="B147" t="s">
        <v>1935</v>
      </c>
      <c r="C147">
        <v>96</v>
      </c>
      <c r="D147" t="s">
        <v>25</v>
      </c>
      <c r="E147" s="1">
        <v>44911</v>
      </c>
      <c r="H147">
        <v>4.9000000000000004</v>
      </c>
      <c r="J147">
        <v>43</v>
      </c>
      <c r="K147">
        <v>23</v>
      </c>
    </row>
    <row r="148" spans="1:11" x14ac:dyDescent="0.3">
      <c r="A148" t="s">
        <v>1926</v>
      </c>
      <c r="B148" t="s">
        <v>1927</v>
      </c>
      <c r="C148">
        <v>92</v>
      </c>
      <c r="D148" t="s">
        <v>28</v>
      </c>
      <c r="E148" s="1">
        <v>44868</v>
      </c>
      <c r="H148">
        <v>4.9000000000000004</v>
      </c>
      <c r="J148">
        <v>41</v>
      </c>
      <c r="K148">
        <v>24</v>
      </c>
    </row>
    <row r="149" spans="1:11" x14ac:dyDescent="0.3">
      <c r="A149" t="s">
        <v>1068</v>
      </c>
      <c r="B149" t="s">
        <v>1069</v>
      </c>
      <c r="C149">
        <v>104</v>
      </c>
      <c r="D149" t="s">
        <v>28</v>
      </c>
      <c r="E149" s="1">
        <v>45632</v>
      </c>
      <c r="F149">
        <v>5</v>
      </c>
      <c r="H149">
        <v>4.9210000000000003</v>
      </c>
      <c r="J149">
        <v>69</v>
      </c>
      <c r="K149">
        <v>76</v>
      </c>
    </row>
    <row r="150" spans="1:11" x14ac:dyDescent="0.3">
      <c r="A150" t="s">
        <v>1595</v>
      </c>
      <c r="B150" t="s">
        <v>1596</v>
      </c>
      <c r="C150">
        <v>80</v>
      </c>
      <c r="D150" t="s">
        <v>28</v>
      </c>
      <c r="E150" s="1">
        <v>44715</v>
      </c>
      <c r="F150">
        <v>4.5</v>
      </c>
      <c r="H150">
        <v>4.9329999999999998</v>
      </c>
      <c r="J150">
        <v>48</v>
      </c>
      <c r="K150">
        <v>47</v>
      </c>
    </row>
    <row r="151" spans="1:11" x14ac:dyDescent="0.3">
      <c r="A151" t="s">
        <v>2012</v>
      </c>
      <c r="B151" t="s">
        <v>2013</v>
      </c>
      <c r="C151">
        <v>84</v>
      </c>
      <c r="D151" t="s">
        <v>18</v>
      </c>
      <c r="E151" s="1">
        <v>45002</v>
      </c>
      <c r="F151">
        <v>2.9</v>
      </c>
      <c r="H151">
        <v>4.9710000000000001</v>
      </c>
      <c r="J151">
        <v>16</v>
      </c>
      <c r="K151">
        <v>3</v>
      </c>
    </row>
    <row r="152" spans="1:11" x14ac:dyDescent="0.3">
      <c r="A152" t="s">
        <v>1996</v>
      </c>
      <c r="B152" t="s">
        <v>1997</v>
      </c>
      <c r="C152">
        <v>93</v>
      </c>
      <c r="D152" t="s">
        <v>28</v>
      </c>
      <c r="E152" s="1">
        <v>45006</v>
      </c>
      <c r="F152">
        <v>3.8</v>
      </c>
      <c r="H152">
        <v>5</v>
      </c>
      <c r="J152">
        <v>22</v>
      </c>
      <c r="K152">
        <v>11</v>
      </c>
    </row>
    <row r="153" spans="1:11" x14ac:dyDescent="0.3">
      <c r="A153" t="s">
        <v>1894</v>
      </c>
      <c r="B153" t="s">
        <v>1895</v>
      </c>
      <c r="C153">
        <v>95</v>
      </c>
      <c r="D153" t="s">
        <v>28</v>
      </c>
      <c r="E153" s="1">
        <v>45464</v>
      </c>
      <c r="F153">
        <v>4.2</v>
      </c>
      <c r="H153">
        <v>5</v>
      </c>
      <c r="J153">
        <v>46</v>
      </c>
      <c r="K153">
        <v>26</v>
      </c>
    </row>
    <row r="154" spans="1:11" x14ac:dyDescent="0.3">
      <c r="A154" t="s">
        <v>1702</v>
      </c>
      <c r="B154" t="s">
        <v>1703</v>
      </c>
      <c r="C154">
        <v>94</v>
      </c>
      <c r="D154" t="s">
        <v>28</v>
      </c>
      <c r="E154" s="1">
        <v>45541</v>
      </c>
      <c r="F154">
        <v>4.5999999999999996</v>
      </c>
      <c r="H154">
        <v>5.0119999999999996</v>
      </c>
      <c r="J154">
        <v>49</v>
      </c>
      <c r="K154">
        <v>40</v>
      </c>
    </row>
    <row r="155" spans="1:11" x14ac:dyDescent="0.3">
      <c r="A155" t="s">
        <v>1498</v>
      </c>
      <c r="B155" t="s">
        <v>1499</v>
      </c>
      <c r="C155">
        <v>87</v>
      </c>
      <c r="D155" t="s">
        <v>28</v>
      </c>
      <c r="E155" s="1">
        <v>45261</v>
      </c>
      <c r="H155">
        <v>5.0609999999999999</v>
      </c>
      <c r="J155">
        <v>52</v>
      </c>
      <c r="K155">
        <v>55</v>
      </c>
    </row>
    <row r="156" spans="1:11" x14ac:dyDescent="0.3">
      <c r="A156" t="s">
        <v>1508</v>
      </c>
      <c r="B156" t="s">
        <v>1509</v>
      </c>
      <c r="C156">
        <v>100</v>
      </c>
      <c r="D156" t="s">
        <v>63</v>
      </c>
      <c r="E156" s="1">
        <v>45317</v>
      </c>
      <c r="F156">
        <v>5</v>
      </c>
      <c r="H156">
        <v>5.09</v>
      </c>
      <c r="J156">
        <v>47</v>
      </c>
      <c r="K156">
        <v>54</v>
      </c>
    </row>
    <row r="157" spans="1:11" x14ac:dyDescent="0.3">
      <c r="A157" t="s">
        <v>972</v>
      </c>
      <c r="B157" t="s">
        <v>973</v>
      </c>
      <c r="C157">
        <v>106</v>
      </c>
      <c r="D157" t="s">
        <v>15</v>
      </c>
      <c r="E157" s="1">
        <v>45604</v>
      </c>
      <c r="H157">
        <v>5.0999999999999996</v>
      </c>
      <c r="J157">
        <v>72</v>
      </c>
      <c r="K157">
        <v>80</v>
      </c>
    </row>
    <row r="158" spans="1:11" x14ac:dyDescent="0.3">
      <c r="A158" t="s">
        <v>1672</v>
      </c>
      <c r="B158" t="s">
        <v>1673</v>
      </c>
      <c r="C158">
        <v>91</v>
      </c>
      <c r="D158" t="s">
        <v>28</v>
      </c>
      <c r="E158" s="1">
        <v>45632</v>
      </c>
      <c r="F158">
        <v>4.8</v>
      </c>
      <c r="H158">
        <v>5.1280000000000001</v>
      </c>
      <c r="J158">
        <v>49</v>
      </c>
      <c r="K158">
        <v>42</v>
      </c>
    </row>
    <row r="159" spans="1:11" x14ac:dyDescent="0.3">
      <c r="A159" t="s">
        <v>1204</v>
      </c>
      <c r="B159" t="s">
        <v>1205</v>
      </c>
      <c r="C159">
        <v>95</v>
      </c>
      <c r="D159" t="s">
        <v>28</v>
      </c>
      <c r="E159" s="1">
        <v>45737</v>
      </c>
      <c r="H159">
        <v>5.1619999999999999</v>
      </c>
      <c r="J159">
        <v>63</v>
      </c>
      <c r="K159">
        <v>71</v>
      </c>
    </row>
    <row r="160" spans="1:11" x14ac:dyDescent="0.3">
      <c r="A160" t="s">
        <v>1837</v>
      </c>
      <c r="B160" t="s">
        <v>1838</v>
      </c>
      <c r="C160">
        <v>81</v>
      </c>
      <c r="D160" t="s">
        <v>28</v>
      </c>
      <c r="E160" s="1">
        <v>44610</v>
      </c>
      <c r="F160">
        <v>4.7</v>
      </c>
      <c r="H160">
        <v>5.1950000000000003</v>
      </c>
      <c r="J160">
        <v>34</v>
      </c>
      <c r="K160">
        <v>31</v>
      </c>
    </row>
    <row r="161" spans="1:11" x14ac:dyDescent="0.3">
      <c r="A161" t="s">
        <v>1736</v>
      </c>
      <c r="B161" t="s">
        <v>1737</v>
      </c>
      <c r="C161">
        <v>99</v>
      </c>
      <c r="D161" t="s">
        <v>28</v>
      </c>
      <c r="E161" s="1">
        <v>45573</v>
      </c>
      <c r="F161">
        <v>4.5</v>
      </c>
      <c r="H161">
        <v>5.2</v>
      </c>
      <c r="J161">
        <v>44</v>
      </c>
      <c r="K161">
        <v>38</v>
      </c>
    </row>
    <row r="162" spans="1:11" x14ac:dyDescent="0.3">
      <c r="A162" t="s">
        <v>1603</v>
      </c>
      <c r="B162" t="s">
        <v>1604</v>
      </c>
      <c r="C162">
        <v>138</v>
      </c>
      <c r="D162" t="s">
        <v>28</v>
      </c>
      <c r="E162" s="1">
        <v>45562</v>
      </c>
      <c r="F162">
        <v>4.7</v>
      </c>
      <c r="H162">
        <v>5.2</v>
      </c>
      <c r="J162">
        <v>55</v>
      </c>
      <c r="K162">
        <v>46</v>
      </c>
    </row>
    <row r="163" spans="1:11" x14ac:dyDescent="0.3">
      <c r="A163" t="s">
        <v>1066</v>
      </c>
      <c r="B163" t="s">
        <v>1067</v>
      </c>
      <c r="C163">
        <v>86</v>
      </c>
      <c r="D163" t="s">
        <v>28</v>
      </c>
      <c r="E163" s="1">
        <v>45632</v>
      </c>
      <c r="H163">
        <v>5.2169999999999996</v>
      </c>
      <c r="J163">
        <v>58</v>
      </c>
      <c r="K163">
        <v>76</v>
      </c>
    </row>
    <row r="164" spans="1:11" x14ac:dyDescent="0.3">
      <c r="A164" t="s">
        <v>1633</v>
      </c>
      <c r="B164" t="s">
        <v>1634</v>
      </c>
      <c r="C164">
        <v>99</v>
      </c>
      <c r="D164" t="s">
        <v>28</v>
      </c>
      <c r="E164" s="1">
        <v>44610</v>
      </c>
      <c r="F164">
        <v>5.0999999999999996</v>
      </c>
      <c r="H164">
        <v>5.2279999999999998</v>
      </c>
      <c r="J164">
        <v>52</v>
      </c>
      <c r="K164">
        <v>45</v>
      </c>
    </row>
    <row r="165" spans="1:11" x14ac:dyDescent="0.3">
      <c r="A165" t="s">
        <v>82</v>
      </c>
      <c r="B165" t="s">
        <v>83</v>
      </c>
      <c r="C165">
        <v>116</v>
      </c>
      <c r="D165" t="s">
        <v>15</v>
      </c>
      <c r="E165" s="1">
        <v>45673</v>
      </c>
      <c r="H165">
        <v>5.2430000000000003</v>
      </c>
      <c r="J165">
        <v>64</v>
      </c>
      <c r="K165">
        <v>77</v>
      </c>
    </row>
    <row r="166" spans="1:11" x14ac:dyDescent="0.3">
      <c r="A166" t="s">
        <v>1882</v>
      </c>
      <c r="B166" t="s">
        <v>1883</v>
      </c>
      <c r="C166">
        <v>92</v>
      </c>
      <c r="D166" t="s">
        <v>28</v>
      </c>
      <c r="E166" s="1">
        <v>44936</v>
      </c>
      <c r="F166">
        <v>5.0999999999999996</v>
      </c>
      <c r="H166">
        <v>5.2439999999999998</v>
      </c>
      <c r="J166">
        <v>42</v>
      </c>
      <c r="K166">
        <v>27</v>
      </c>
    </row>
    <row r="167" spans="1:11" x14ac:dyDescent="0.3">
      <c r="A167" t="s">
        <v>1460</v>
      </c>
      <c r="B167" t="s">
        <v>1461</v>
      </c>
      <c r="C167">
        <v>148</v>
      </c>
      <c r="D167" t="s">
        <v>28</v>
      </c>
      <c r="E167" s="1">
        <v>45708</v>
      </c>
      <c r="H167">
        <v>5.28</v>
      </c>
      <c r="J167">
        <v>66</v>
      </c>
      <c r="K167">
        <v>56</v>
      </c>
    </row>
    <row r="168" spans="1:11" x14ac:dyDescent="0.3">
      <c r="A168" t="s">
        <v>86</v>
      </c>
      <c r="B168" t="s">
        <v>87</v>
      </c>
      <c r="C168">
        <v>65</v>
      </c>
      <c r="D168" t="s">
        <v>15</v>
      </c>
      <c r="E168" s="1">
        <v>45338</v>
      </c>
      <c r="F168">
        <v>4.0999999999999996</v>
      </c>
      <c r="H168">
        <v>5.3</v>
      </c>
      <c r="J168">
        <v>61</v>
      </c>
      <c r="K168">
        <v>76</v>
      </c>
    </row>
    <row r="169" spans="1:11" x14ac:dyDescent="0.3">
      <c r="A169" t="s">
        <v>2008</v>
      </c>
      <c r="B169" t="s">
        <v>2009</v>
      </c>
      <c r="C169">
        <v>95</v>
      </c>
      <c r="D169" t="s">
        <v>15</v>
      </c>
      <c r="E169" s="1">
        <v>45443</v>
      </c>
      <c r="F169">
        <v>4.5</v>
      </c>
      <c r="H169">
        <v>5.3</v>
      </c>
      <c r="J169">
        <v>41</v>
      </c>
      <c r="K169">
        <v>8</v>
      </c>
    </row>
    <row r="170" spans="1:11" x14ac:dyDescent="0.3">
      <c r="A170" t="s">
        <v>1164</v>
      </c>
      <c r="B170" t="s">
        <v>1165</v>
      </c>
      <c r="C170">
        <v>100</v>
      </c>
      <c r="D170" t="s">
        <v>18</v>
      </c>
      <c r="E170" s="1">
        <v>44959</v>
      </c>
      <c r="F170">
        <v>4.7</v>
      </c>
      <c r="H170">
        <v>5.3</v>
      </c>
      <c r="J170">
        <v>66</v>
      </c>
      <c r="K170">
        <v>73</v>
      </c>
    </row>
    <row r="171" spans="1:11" x14ac:dyDescent="0.3">
      <c r="A171" t="s">
        <v>2000</v>
      </c>
      <c r="B171" t="s">
        <v>2001</v>
      </c>
      <c r="C171">
        <v>116</v>
      </c>
      <c r="D171" t="s">
        <v>15</v>
      </c>
      <c r="E171" s="1">
        <v>45336</v>
      </c>
      <c r="F171">
        <v>4</v>
      </c>
      <c r="H171">
        <v>5.3010000000000002</v>
      </c>
      <c r="J171">
        <v>26</v>
      </c>
      <c r="K171">
        <v>10</v>
      </c>
    </row>
    <row r="172" spans="1:11" x14ac:dyDescent="0.3">
      <c r="A172" t="s">
        <v>1098</v>
      </c>
      <c r="B172" t="s">
        <v>1099</v>
      </c>
      <c r="C172">
        <v>129</v>
      </c>
      <c r="D172" t="s">
        <v>25</v>
      </c>
      <c r="E172" s="1">
        <v>44715</v>
      </c>
      <c r="H172">
        <v>5.3029999999999999</v>
      </c>
      <c r="J172">
        <v>56</v>
      </c>
      <c r="K172">
        <v>76</v>
      </c>
    </row>
    <row r="173" spans="1:11" x14ac:dyDescent="0.3">
      <c r="A173" t="s">
        <v>1817</v>
      </c>
      <c r="B173" t="s">
        <v>1818</v>
      </c>
      <c r="C173">
        <v>83</v>
      </c>
      <c r="D173" t="s">
        <v>15</v>
      </c>
      <c r="E173" s="1">
        <v>44638</v>
      </c>
      <c r="F173">
        <v>4.7</v>
      </c>
      <c r="H173">
        <v>5.3129999999999997</v>
      </c>
      <c r="J173">
        <v>51</v>
      </c>
      <c r="K173">
        <v>32</v>
      </c>
    </row>
    <row r="174" spans="1:11" x14ac:dyDescent="0.3">
      <c r="A174" t="s">
        <v>1777</v>
      </c>
      <c r="B174" t="s">
        <v>1778</v>
      </c>
      <c r="C174">
        <v>110</v>
      </c>
      <c r="D174" t="s">
        <v>18</v>
      </c>
      <c r="E174" s="1">
        <v>44819</v>
      </c>
      <c r="F174">
        <v>5</v>
      </c>
      <c r="H174">
        <v>5.3310000000000004</v>
      </c>
      <c r="J174">
        <v>49</v>
      </c>
      <c r="K174">
        <v>35</v>
      </c>
    </row>
    <row r="175" spans="1:11" x14ac:dyDescent="0.3">
      <c r="A175" t="s">
        <v>1724</v>
      </c>
      <c r="B175" t="s">
        <v>1725</v>
      </c>
      <c r="C175">
        <v>97</v>
      </c>
      <c r="D175" t="s">
        <v>15</v>
      </c>
      <c r="E175" s="1">
        <v>45415</v>
      </c>
      <c r="H175">
        <v>5.3470000000000004</v>
      </c>
      <c r="J175">
        <v>42</v>
      </c>
      <c r="K175">
        <v>39</v>
      </c>
    </row>
    <row r="176" spans="1:11" x14ac:dyDescent="0.3">
      <c r="A176" t="s">
        <v>635</v>
      </c>
      <c r="B176" t="s">
        <v>636</v>
      </c>
      <c r="C176">
        <v>91</v>
      </c>
      <c r="D176" t="s">
        <v>28</v>
      </c>
      <c r="E176" s="1">
        <v>45205</v>
      </c>
      <c r="H176">
        <v>5.367</v>
      </c>
      <c r="J176">
        <v>77</v>
      </c>
      <c r="K176">
        <v>89</v>
      </c>
    </row>
    <row r="177" spans="1:11" x14ac:dyDescent="0.3">
      <c r="A177" t="s">
        <v>1028</v>
      </c>
      <c r="B177" t="s">
        <v>1029</v>
      </c>
      <c r="C177">
        <v>86</v>
      </c>
      <c r="D177" t="s">
        <v>18</v>
      </c>
      <c r="E177" s="1">
        <v>44904</v>
      </c>
      <c r="F177">
        <v>5.0999999999999996</v>
      </c>
      <c r="H177">
        <v>5.3739999999999997</v>
      </c>
      <c r="J177">
        <v>46</v>
      </c>
      <c r="K177">
        <v>78</v>
      </c>
    </row>
    <row r="178" spans="1:11" x14ac:dyDescent="0.3">
      <c r="A178" t="s">
        <v>396</v>
      </c>
      <c r="B178" t="s">
        <v>397</v>
      </c>
      <c r="C178">
        <v>100</v>
      </c>
      <c r="D178" t="s">
        <v>28</v>
      </c>
      <c r="E178" s="1">
        <v>45352</v>
      </c>
      <c r="H178">
        <v>5.3920000000000003</v>
      </c>
      <c r="J178">
        <v>70</v>
      </c>
      <c r="K178">
        <v>94</v>
      </c>
    </row>
    <row r="179" spans="1:11" x14ac:dyDescent="0.3">
      <c r="A179" t="s">
        <v>852</v>
      </c>
      <c r="B179" t="s">
        <v>853</v>
      </c>
      <c r="C179">
        <v>94</v>
      </c>
      <c r="D179" t="s">
        <v>25</v>
      </c>
      <c r="E179" s="1">
        <v>45702</v>
      </c>
      <c r="F179">
        <v>4.7</v>
      </c>
      <c r="H179">
        <v>5.4</v>
      </c>
      <c r="J179">
        <v>53</v>
      </c>
      <c r="K179">
        <v>83</v>
      </c>
    </row>
    <row r="180" spans="1:11" x14ac:dyDescent="0.3">
      <c r="A180" t="s">
        <v>140</v>
      </c>
      <c r="B180" t="s">
        <v>141</v>
      </c>
      <c r="C180">
        <v>94</v>
      </c>
      <c r="D180" t="s">
        <v>15</v>
      </c>
      <c r="E180" s="1">
        <v>44785</v>
      </c>
      <c r="F180">
        <v>4.8</v>
      </c>
      <c r="H180">
        <v>5.4</v>
      </c>
      <c r="J180">
        <v>49</v>
      </c>
      <c r="K180">
        <v>24</v>
      </c>
    </row>
    <row r="181" spans="1:11" x14ac:dyDescent="0.3">
      <c r="A181" t="s">
        <v>1692</v>
      </c>
      <c r="B181" t="s">
        <v>1693</v>
      </c>
      <c r="C181">
        <v>85</v>
      </c>
      <c r="D181" t="s">
        <v>28</v>
      </c>
      <c r="E181" s="1">
        <v>45394</v>
      </c>
      <c r="F181">
        <v>4.8</v>
      </c>
      <c r="H181">
        <v>5.4</v>
      </c>
      <c r="J181">
        <v>55</v>
      </c>
      <c r="K181">
        <v>41</v>
      </c>
    </row>
    <row r="182" spans="1:11" x14ac:dyDescent="0.3">
      <c r="A182" t="s">
        <v>1829</v>
      </c>
      <c r="B182" t="s">
        <v>1830</v>
      </c>
      <c r="C182">
        <v>96</v>
      </c>
      <c r="D182" t="s">
        <v>15</v>
      </c>
      <c r="E182" s="1">
        <v>45023</v>
      </c>
      <c r="F182">
        <v>5</v>
      </c>
      <c r="H182">
        <v>5.4</v>
      </c>
      <c r="J182">
        <v>45</v>
      </c>
      <c r="K182">
        <v>31</v>
      </c>
    </row>
    <row r="183" spans="1:11" x14ac:dyDescent="0.3">
      <c r="A183" t="s">
        <v>1809</v>
      </c>
      <c r="B183" t="s">
        <v>1810</v>
      </c>
      <c r="C183">
        <v>96</v>
      </c>
      <c r="D183" t="s">
        <v>28</v>
      </c>
      <c r="E183" s="1">
        <v>44889</v>
      </c>
      <c r="H183">
        <v>5.4</v>
      </c>
      <c r="J183">
        <v>37</v>
      </c>
      <c r="K183">
        <v>32</v>
      </c>
    </row>
    <row r="184" spans="1:11" x14ac:dyDescent="0.3">
      <c r="A184" t="s">
        <v>1320</v>
      </c>
      <c r="B184" t="s">
        <v>1321</v>
      </c>
      <c r="C184">
        <v>130</v>
      </c>
      <c r="D184" t="s">
        <v>15</v>
      </c>
      <c r="E184" s="1">
        <v>45184</v>
      </c>
      <c r="H184">
        <v>5.4</v>
      </c>
      <c r="J184">
        <v>54</v>
      </c>
      <c r="K184">
        <v>66</v>
      </c>
    </row>
    <row r="185" spans="1:11" x14ac:dyDescent="0.3">
      <c r="A185" t="s">
        <v>1048</v>
      </c>
      <c r="B185" t="s">
        <v>1049</v>
      </c>
      <c r="C185">
        <v>104</v>
      </c>
      <c r="D185" t="s">
        <v>28</v>
      </c>
      <c r="E185" s="1">
        <v>45078</v>
      </c>
      <c r="H185">
        <v>5.4</v>
      </c>
      <c r="J185">
        <v>66</v>
      </c>
      <c r="K185">
        <v>77</v>
      </c>
    </row>
    <row r="186" spans="1:11" x14ac:dyDescent="0.3">
      <c r="A186" t="s">
        <v>1833</v>
      </c>
      <c r="B186" t="s">
        <v>1834</v>
      </c>
      <c r="C186">
        <v>95</v>
      </c>
      <c r="D186" t="s">
        <v>15</v>
      </c>
      <c r="E186" s="1">
        <v>44953</v>
      </c>
      <c r="F186">
        <v>5</v>
      </c>
      <c r="H186">
        <v>5.4089999999999998</v>
      </c>
      <c r="J186">
        <v>42</v>
      </c>
      <c r="K186">
        <v>31</v>
      </c>
    </row>
    <row r="187" spans="1:11" x14ac:dyDescent="0.3">
      <c r="A187" t="s">
        <v>1360</v>
      </c>
      <c r="B187" t="s">
        <v>1361</v>
      </c>
      <c r="C187">
        <v>106</v>
      </c>
      <c r="D187" t="s">
        <v>12</v>
      </c>
      <c r="E187" s="1">
        <v>45044</v>
      </c>
      <c r="F187">
        <v>4.4000000000000004</v>
      </c>
      <c r="H187">
        <v>5.4279999999999999</v>
      </c>
      <c r="J187">
        <v>61</v>
      </c>
      <c r="K187">
        <v>63</v>
      </c>
    </row>
    <row r="188" spans="1:11" x14ac:dyDescent="0.3">
      <c r="A188" t="s">
        <v>1174</v>
      </c>
      <c r="B188" t="s">
        <v>1175</v>
      </c>
      <c r="C188">
        <v>93</v>
      </c>
      <c r="D188" t="s">
        <v>28</v>
      </c>
      <c r="E188" s="1">
        <v>45499</v>
      </c>
      <c r="H188">
        <v>5.4390000000000001</v>
      </c>
      <c r="J188">
        <v>59</v>
      </c>
      <c r="K188">
        <v>72</v>
      </c>
    </row>
    <row r="189" spans="1:11" x14ac:dyDescent="0.3">
      <c r="A189" t="s">
        <v>45</v>
      </c>
      <c r="B189" t="s">
        <v>46</v>
      </c>
      <c r="C189">
        <v>86</v>
      </c>
      <c r="D189" t="s">
        <v>18</v>
      </c>
      <c r="E189" s="1">
        <v>44673</v>
      </c>
      <c r="H189">
        <v>5.47</v>
      </c>
      <c r="J189">
        <v>78</v>
      </c>
      <c r="K189">
        <v>91</v>
      </c>
    </row>
    <row r="190" spans="1:11" x14ac:dyDescent="0.3">
      <c r="A190" t="s">
        <v>1990</v>
      </c>
      <c r="B190" t="s">
        <v>1991</v>
      </c>
      <c r="C190">
        <v>92</v>
      </c>
      <c r="D190" t="s">
        <v>28</v>
      </c>
      <c r="E190" s="1">
        <v>44876</v>
      </c>
      <c r="F190">
        <v>3.7</v>
      </c>
      <c r="H190">
        <v>5.4749999999999996</v>
      </c>
      <c r="J190">
        <v>31</v>
      </c>
      <c r="K190">
        <v>14</v>
      </c>
    </row>
    <row r="191" spans="1:11" x14ac:dyDescent="0.3">
      <c r="A191" t="s">
        <v>2004</v>
      </c>
      <c r="B191" t="s">
        <v>2005</v>
      </c>
      <c r="C191">
        <v>94</v>
      </c>
      <c r="D191" t="s">
        <v>28</v>
      </c>
      <c r="E191" s="1">
        <v>44694</v>
      </c>
      <c r="F191">
        <v>4.5999999999999996</v>
      </c>
      <c r="H191">
        <v>5.4820000000000002</v>
      </c>
      <c r="J191">
        <v>32</v>
      </c>
      <c r="K191">
        <v>10</v>
      </c>
    </row>
    <row r="192" spans="1:11" x14ac:dyDescent="0.3">
      <c r="A192" t="s">
        <v>1336</v>
      </c>
      <c r="B192" t="s">
        <v>1337</v>
      </c>
      <c r="C192">
        <v>86</v>
      </c>
      <c r="D192" t="s">
        <v>28</v>
      </c>
      <c r="E192" s="1">
        <v>45540</v>
      </c>
      <c r="F192">
        <v>4.7</v>
      </c>
      <c r="H192">
        <v>5.5</v>
      </c>
      <c r="J192">
        <v>68</v>
      </c>
      <c r="K192">
        <v>64</v>
      </c>
    </row>
    <row r="193" spans="1:11" x14ac:dyDescent="0.3">
      <c r="A193" t="s">
        <v>1428</v>
      </c>
      <c r="B193" t="s">
        <v>1429</v>
      </c>
      <c r="C193">
        <v>92</v>
      </c>
      <c r="D193" t="s">
        <v>28</v>
      </c>
      <c r="E193" s="1">
        <v>44638</v>
      </c>
      <c r="H193">
        <v>5.5</v>
      </c>
      <c r="J193">
        <v>52</v>
      </c>
      <c r="K193">
        <v>59</v>
      </c>
    </row>
    <row r="194" spans="1:11" x14ac:dyDescent="0.3">
      <c r="A194" t="s">
        <v>808</v>
      </c>
      <c r="B194" t="s">
        <v>809</v>
      </c>
      <c r="C194">
        <v>111</v>
      </c>
      <c r="D194" t="s">
        <v>18</v>
      </c>
      <c r="E194" s="1">
        <v>44834</v>
      </c>
      <c r="H194">
        <v>5.5</v>
      </c>
      <c r="J194">
        <v>79</v>
      </c>
      <c r="K194">
        <v>85</v>
      </c>
    </row>
    <row r="195" spans="1:11" x14ac:dyDescent="0.3">
      <c r="A195" t="s">
        <v>828</v>
      </c>
      <c r="B195" t="s">
        <v>829</v>
      </c>
      <c r="C195">
        <v>111</v>
      </c>
      <c r="D195" t="s">
        <v>28</v>
      </c>
      <c r="E195" s="1">
        <v>45527</v>
      </c>
      <c r="H195">
        <v>5.5</v>
      </c>
      <c r="J195">
        <v>83</v>
      </c>
      <c r="K195">
        <v>84</v>
      </c>
    </row>
    <row r="196" spans="1:11" x14ac:dyDescent="0.3">
      <c r="A196" t="s">
        <v>1962</v>
      </c>
      <c r="B196" t="s">
        <v>1963</v>
      </c>
      <c r="C196">
        <v>98</v>
      </c>
      <c r="D196" t="s">
        <v>15</v>
      </c>
      <c r="E196" s="1">
        <v>45296</v>
      </c>
      <c r="F196">
        <v>4.7</v>
      </c>
      <c r="H196">
        <v>5.5039999999999996</v>
      </c>
      <c r="J196">
        <v>43</v>
      </c>
      <c r="K196">
        <v>19</v>
      </c>
    </row>
    <row r="197" spans="1:11" x14ac:dyDescent="0.3">
      <c r="A197" t="s">
        <v>1340</v>
      </c>
      <c r="B197" t="s">
        <v>1341</v>
      </c>
      <c r="C197">
        <v>84</v>
      </c>
      <c r="D197" t="s">
        <v>28</v>
      </c>
      <c r="E197" s="1">
        <v>45345</v>
      </c>
      <c r="H197">
        <v>5.5129999999999999</v>
      </c>
      <c r="J197">
        <v>56</v>
      </c>
      <c r="K197">
        <v>64</v>
      </c>
    </row>
    <row r="198" spans="1:11" x14ac:dyDescent="0.3">
      <c r="A198" t="s">
        <v>1581</v>
      </c>
      <c r="B198" t="s">
        <v>1582</v>
      </c>
      <c r="C198">
        <v>112</v>
      </c>
      <c r="D198" t="s">
        <v>28</v>
      </c>
      <c r="E198" s="1">
        <v>45308</v>
      </c>
      <c r="H198">
        <v>5.5369999999999999</v>
      </c>
      <c r="J198">
        <v>47</v>
      </c>
      <c r="K198">
        <v>47</v>
      </c>
    </row>
    <row r="199" spans="1:11" x14ac:dyDescent="0.3">
      <c r="A199" t="s">
        <v>1643</v>
      </c>
      <c r="B199" t="s">
        <v>1644</v>
      </c>
      <c r="C199">
        <v>90</v>
      </c>
      <c r="D199" t="s">
        <v>28</v>
      </c>
      <c r="E199" s="1">
        <v>44621</v>
      </c>
      <c r="F199">
        <v>4.9000000000000004</v>
      </c>
      <c r="H199">
        <v>5.5519999999999996</v>
      </c>
      <c r="J199">
        <v>52</v>
      </c>
      <c r="K199">
        <v>44</v>
      </c>
    </row>
    <row r="200" spans="1:11" x14ac:dyDescent="0.3">
      <c r="A200" t="s">
        <v>1768</v>
      </c>
      <c r="B200" t="s">
        <v>1769</v>
      </c>
      <c r="C200">
        <v>99</v>
      </c>
      <c r="D200" t="s">
        <v>63</v>
      </c>
      <c r="E200" s="1">
        <v>45569</v>
      </c>
      <c r="F200">
        <v>4.9000000000000004</v>
      </c>
      <c r="H200">
        <v>5.5629999999999997</v>
      </c>
      <c r="J200">
        <v>45</v>
      </c>
      <c r="K200">
        <v>35</v>
      </c>
    </row>
    <row r="201" spans="1:11" x14ac:dyDescent="0.3">
      <c r="A201" t="s">
        <v>1348</v>
      </c>
      <c r="B201" t="s">
        <v>1349</v>
      </c>
      <c r="C201">
        <v>136</v>
      </c>
      <c r="D201" t="s">
        <v>28</v>
      </c>
      <c r="E201" s="1">
        <v>44925</v>
      </c>
      <c r="H201">
        <v>5.5819999999999999</v>
      </c>
      <c r="J201">
        <v>66</v>
      </c>
      <c r="K201">
        <v>64</v>
      </c>
    </row>
    <row r="202" spans="1:11" x14ac:dyDescent="0.3">
      <c r="A202" t="s">
        <v>834</v>
      </c>
      <c r="B202" t="s">
        <v>835</v>
      </c>
      <c r="C202">
        <v>106</v>
      </c>
      <c r="D202" t="s">
        <v>28</v>
      </c>
      <c r="E202" s="1">
        <v>45275</v>
      </c>
      <c r="H202">
        <v>5.5830000000000002</v>
      </c>
      <c r="J202">
        <v>75</v>
      </c>
      <c r="K202">
        <v>84</v>
      </c>
    </row>
    <row r="203" spans="1:11" x14ac:dyDescent="0.3">
      <c r="A203" t="s">
        <v>1500</v>
      </c>
      <c r="B203" t="s">
        <v>1501</v>
      </c>
      <c r="C203">
        <v>109</v>
      </c>
      <c r="D203" t="s">
        <v>12</v>
      </c>
      <c r="E203" s="1">
        <v>44831</v>
      </c>
      <c r="F203">
        <v>4.5</v>
      </c>
      <c r="H203">
        <v>5.5940000000000003</v>
      </c>
      <c r="J203">
        <v>57</v>
      </c>
      <c r="K203">
        <v>55</v>
      </c>
    </row>
    <row r="204" spans="1:11" x14ac:dyDescent="0.3">
      <c r="A204" t="s">
        <v>2014</v>
      </c>
      <c r="B204" t="s">
        <v>2015</v>
      </c>
      <c r="C204">
        <v>95</v>
      </c>
      <c r="D204" t="s">
        <v>28</v>
      </c>
      <c r="E204" s="1">
        <v>45673</v>
      </c>
      <c r="F204">
        <v>3.3</v>
      </c>
      <c r="H204">
        <v>5.6</v>
      </c>
      <c r="J204">
        <v>23</v>
      </c>
      <c r="K204">
        <v>0</v>
      </c>
    </row>
    <row r="205" spans="1:11" x14ac:dyDescent="0.3">
      <c r="A205" t="s">
        <v>1908</v>
      </c>
      <c r="B205" t="s">
        <v>1909</v>
      </c>
      <c r="C205">
        <v>117</v>
      </c>
      <c r="D205" t="s">
        <v>28</v>
      </c>
      <c r="E205" s="1">
        <v>45156</v>
      </c>
      <c r="F205">
        <v>4.2</v>
      </c>
      <c r="H205">
        <v>5.6</v>
      </c>
      <c r="J205">
        <v>48</v>
      </c>
      <c r="K205">
        <v>25</v>
      </c>
    </row>
    <row r="206" spans="1:11" x14ac:dyDescent="0.3">
      <c r="A206" t="s">
        <v>1857</v>
      </c>
      <c r="B206" t="s">
        <v>1858</v>
      </c>
      <c r="C206">
        <v>100</v>
      </c>
      <c r="D206" t="s">
        <v>28</v>
      </c>
      <c r="E206" s="1">
        <v>44939</v>
      </c>
      <c r="F206">
        <v>4.4000000000000004</v>
      </c>
      <c r="H206">
        <v>5.6</v>
      </c>
      <c r="J206">
        <v>41</v>
      </c>
      <c r="K206">
        <v>29</v>
      </c>
    </row>
    <row r="207" spans="1:11" x14ac:dyDescent="0.3">
      <c r="A207" t="s">
        <v>1864</v>
      </c>
      <c r="B207" t="s">
        <v>1865</v>
      </c>
      <c r="C207">
        <v>97</v>
      </c>
      <c r="D207" t="s">
        <v>28</v>
      </c>
      <c r="E207" s="1">
        <v>45693</v>
      </c>
      <c r="F207">
        <v>4.9000000000000004</v>
      </c>
      <c r="H207">
        <v>5.6</v>
      </c>
      <c r="J207">
        <v>38</v>
      </c>
      <c r="K207">
        <v>28</v>
      </c>
    </row>
    <row r="208" spans="1:11" x14ac:dyDescent="0.3">
      <c r="A208" t="s">
        <v>1890</v>
      </c>
      <c r="B208" t="s">
        <v>1891</v>
      </c>
      <c r="C208">
        <v>94</v>
      </c>
      <c r="D208" t="s">
        <v>28</v>
      </c>
      <c r="E208" s="1">
        <v>45709</v>
      </c>
      <c r="F208">
        <v>5.0999999999999996</v>
      </c>
      <c r="H208">
        <v>5.6</v>
      </c>
      <c r="J208">
        <v>33</v>
      </c>
      <c r="K208">
        <v>26</v>
      </c>
    </row>
    <row r="209" spans="1:11" x14ac:dyDescent="0.3">
      <c r="A209" t="s">
        <v>1420</v>
      </c>
      <c r="B209" t="s">
        <v>1421</v>
      </c>
      <c r="C209">
        <v>87</v>
      </c>
      <c r="D209" t="s">
        <v>28</v>
      </c>
      <c r="E209" s="1">
        <v>45044</v>
      </c>
      <c r="F209">
        <v>5.0999999999999996</v>
      </c>
      <c r="H209">
        <v>5.6</v>
      </c>
      <c r="J209">
        <v>43</v>
      </c>
      <c r="K209">
        <v>59</v>
      </c>
    </row>
    <row r="210" spans="1:11" x14ac:dyDescent="0.3">
      <c r="A210" t="s">
        <v>2006</v>
      </c>
      <c r="B210" t="s">
        <v>2007</v>
      </c>
      <c r="C210">
        <v>94</v>
      </c>
      <c r="D210" t="s">
        <v>18</v>
      </c>
      <c r="E210" s="1">
        <v>44887</v>
      </c>
      <c r="H210">
        <v>5.6</v>
      </c>
      <c r="J210">
        <v>43</v>
      </c>
      <c r="K210">
        <v>9</v>
      </c>
    </row>
    <row r="211" spans="1:11" x14ac:dyDescent="0.3">
      <c r="A211" t="s">
        <v>1680</v>
      </c>
      <c r="B211" t="s">
        <v>1681</v>
      </c>
      <c r="C211">
        <v>91</v>
      </c>
      <c r="D211" t="s">
        <v>28</v>
      </c>
      <c r="E211" s="1">
        <v>44967</v>
      </c>
      <c r="H211">
        <v>5.6</v>
      </c>
      <c r="J211">
        <v>40</v>
      </c>
      <c r="K211">
        <v>42</v>
      </c>
    </row>
    <row r="212" spans="1:11" x14ac:dyDescent="0.3">
      <c r="A212" t="s">
        <v>1728</v>
      </c>
      <c r="B212" t="s">
        <v>1729</v>
      </c>
      <c r="C212">
        <v>117</v>
      </c>
      <c r="D212" t="s">
        <v>28</v>
      </c>
      <c r="E212" s="1">
        <v>44953</v>
      </c>
      <c r="H212">
        <v>5.6</v>
      </c>
      <c r="J212">
        <v>50</v>
      </c>
      <c r="K212">
        <v>39</v>
      </c>
    </row>
    <row r="213" spans="1:11" x14ac:dyDescent="0.3">
      <c r="A213" t="s">
        <v>1382</v>
      </c>
      <c r="B213" t="s">
        <v>1383</v>
      </c>
      <c r="C213">
        <v>104</v>
      </c>
      <c r="D213" t="s">
        <v>28</v>
      </c>
      <c r="E213" s="1">
        <v>44862</v>
      </c>
      <c r="H213">
        <v>5.6</v>
      </c>
      <c r="J213">
        <v>51</v>
      </c>
      <c r="K213">
        <v>62</v>
      </c>
    </row>
    <row r="214" spans="1:11" x14ac:dyDescent="0.3">
      <c r="A214" t="s">
        <v>1000</v>
      </c>
      <c r="B214" t="s">
        <v>1001</v>
      </c>
      <c r="C214">
        <v>94</v>
      </c>
      <c r="D214" t="s">
        <v>18</v>
      </c>
      <c r="E214" s="1">
        <v>45471</v>
      </c>
      <c r="H214">
        <v>5.6</v>
      </c>
      <c r="J214">
        <v>68</v>
      </c>
      <c r="K214">
        <v>79</v>
      </c>
    </row>
    <row r="215" spans="1:11" x14ac:dyDescent="0.3">
      <c r="A215" t="s">
        <v>846</v>
      </c>
      <c r="B215" t="s">
        <v>847</v>
      </c>
      <c r="C215">
        <v>89</v>
      </c>
      <c r="D215" t="s">
        <v>28</v>
      </c>
      <c r="E215" s="1">
        <v>44946</v>
      </c>
      <c r="H215">
        <v>5.6</v>
      </c>
      <c r="J215">
        <v>65</v>
      </c>
      <c r="K215">
        <v>84</v>
      </c>
    </row>
    <row r="216" spans="1:11" x14ac:dyDescent="0.3">
      <c r="A216" t="s">
        <v>53</v>
      </c>
      <c r="B216" t="s">
        <v>54</v>
      </c>
      <c r="C216">
        <v>102</v>
      </c>
      <c r="D216" t="s">
        <v>28</v>
      </c>
      <c r="E216" s="1">
        <v>44820</v>
      </c>
      <c r="H216">
        <v>5.6</v>
      </c>
      <c r="J216">
        <v>77</v>
      </c>
      <c r="K216">
        <v>88</v>
      </c>
    </row>
    <row r="217" spans="1:11" x14ac:dyDescent="0.3">
      <c r="A217" t="s">
        <v>1859</v>
      </c>
      <c r="B217" t="s">
        <v>1860</v>
      </c>
      <c r="C217">
        <v>100</v>
      </c>
      <c r="D217" t="s">
        <v>28</v>
      </c>
      <c r="E217" s="1">
        <v>44834</v>
      </c>
      <c r="H217">
        <v>5.6</v>
      </c>
      <c r="J217">
        <v>47</v>
      </c>
      <c r="K217">
        <v>29</v>
      </c>
    </row>
    <row r="218" spans="1:11" x14ac:dyDescent="0.3">
      <c r="A218" t="s">
        <v>1414</v>
      </c>
      <c r="B218" t="s">
        <v>1415</v>
      </c>
      <c r="C218">
        <v>103</v>
      </c>
      <c r="D218" t="s">
        <v>18</v>
      </c>
      <c r="E218" s="1">
        <v>45485</v>
      </c>
      <c r="H218">
        <v>5.6</v>
      </c>
      <c r="J218">
        <v>55</v>
      </c>
      <c r="K218">
        <v>59</v>
      </c>
    </row>
    <row r="219" spans="1:11" x14ac:dyDescent="0.3">
      <c r="A219" t="s">
        <v>68</v>
      </c>
      <c r="B219" t="s">
        <v>69</v>
      </c>
      <c r="C219">
        <v>116</v>
      </c>
      <c r="D219" t="s">
        <v>25</v>
      </c>
      <c r="E219" s="1">
        <v>44804</v>
      </c>
      <c r="H219">
        <v>5.6</v>
      </c>
      <c r="J219">
        <v>73</v>
      </c>
      <c r="K219">
        <v>84</v>
      </c>
    </row>
    <row r="220" spans="1:11" x14ac:dyDescent="0.3">
      <c r="A220" t="s">
        <v>1998</v>
      </c>
      <c r="B220" t="s">
        <v>1999</v>
      </c>
      <c r="C220">
        <v>101</v>
      </c>
      <c r="D220" t="s">
        <v>15</v>
      </c>
      <c r="E220" s="1">
        <v>45513</v>
      </c>
      <c r="F220">
        <v>4.7</v>
      </c>
      <c r="H220">
        <v>5.601</v>
      </c>
      <c r="J220">
        <v>26</v>
      </c>
      <c r="K220">
        <v>10</v>
      </c>
    </row>
    <row r="221" spans="1:11" x14ac:dyDescent="0.3">
      <c r="A221" t="s">
        <v>1968</v>
      </c>
      <c r="B221" t="s">
        <v>1969</v>
      </c>
      <c r="C221">
        <v>120</v>
      </c>
      <c r="D221" t="s">
        <v>28</v>
      </c>
      <c r="E221" s="1">
        <v>45345</v>
      </c>
      <c r="F221">
        <v>4.2</v>
      </c>
      <c r="H221">
        <v>5.6180000000000003</v>
      </c>
      <c r="J221">
        <v>33</v>
      </c>
      <c r="K221">
        <v>18</v>
      </c>
    </row>
    <row r="222" spans="1:11" x14ac:dyDescent="0.3">
      <c r="A222" t="s">
        <v>1946</v>
      </c>
      <c r="B222" t="s">
        <v>1947</v>
      </c>
      <c r="C222">
        <v>91</v>
      </c>
      <c r="D222" t="s">
        <v>28</v>
      </c>
      <c r="E222" s="1">
        <v>45429</v>
      </c>
      <c r="F222">
        <v>4.5999999999999996</v>
      </c>
      <c r="H222">
        <v>5.6559999999999997</v>
      </c>
      <c r="J222">
        <v>43</v>
      </c>
      <c r="K222">
        <v>21</v>
      </c>
    </row>
    <row r="223" spans="1:11" x14ac:dyDescent="0.3">
      <c r="A223" t="s">
        <v>1964</v>
      </c>
      <c r="B223" t="s">
        <v>1965</v>
      </c>
      <c r="C223">
        <v>83</v>
      </c>
      <c r="D223" t="s">
        <v>28</v>
      </c>
      <c r="E223" s="1">
        <v>45695</v>
      </c>
      <c r="H223">
        <v>5.6630000000000003</v>
      </c>
      <c r="J223">
        <v>34</v>
      </c>
      <c r="K223">
        <v>18</v>
      </c>
    </row>
    <row r="224" spans="1:11" x14ac:dyDescent="0.3">
      <c r="A224" t="s">
        <v>1892</v>
      </c>
      <c r="B224" t="s">
        <v>1893</v>
      </c>
      <c r="C224">
        <v>91</v>
      </c>
      <c r="D224" t="s">
        <v>90</v>
      </c>
      <c r="E224" s="1">
        <v>45595</v>
      </c>
      <c r="F224">
        <v>5</v>
      </c>
      <c r="J224">
        <v>36</v>
      </c>
      <c r="K224">
        <v>26</v>
      </c>
    </row>
    <row r="225" spans="1:11" x14ac:dyDescent="0.3">
      <c r="A225" t="s">
        <v>918</v>
      </c>
      <c r="B225" t="s">
        <v>919</v>
      </c>
      <c r="C225">
        <v>96</v>
      </c>
      <c r="D225" t="s">
        <v>28</v>
      </c>
      <c r="E225" s="1">
        <v>44971</v>
      </c>
      <c r="J225">
        <v>53</v>
      </c>
      <c r="K225">
        <v>82</v>
      </c>
    </row>
    <row r="226" spans="1:11" x14ac:dyDescent="0.3">
      <c r="A226" t="s">
        <v>1346</v>
      </c>
      <c r="B226" t="s">
        <v>1347</v>
      </c>
      <c r="C226">
        <v>99</v>
      </c>
      <c r="D226" t="s">
        <v>15</v>
      </c>
      <c r="E226" s="1">
        <v>45191</v>
      </c>
      <c r="J226">
        <v>50</v>
      </c>
      <c r="K226">
        <v>64</v>
      </c>
    </row>
    <row r="227" spans="1:11" x14ac:dyDescent="0.3">
      <c r="A227" t="s">
        <v>1212</v>
      </c>
      <c r="B227" t="s">
        <v>1213</v>
      </c>
      <c r="C227">
        <v>88</v>
      </c>
      <c r="D227" t="s">
        <v>28</v>
      </c>
      <c r="E227" s="1">
        <v>45401</v>
      </c>
      <c r="J227">
        <v>66</v>
      </c>
      <c r="K227">
        <v>71</v>
      </c>
    </row>
    <row r="228" spans="1:11" x14ac:dyDescent="0.3">
      <c r="A228" t="s">
        <v>1952</v>
      </c>
      <c r="B228" t="s">
        <v>1953</v>
      </c>
      <c r="C228">
        <v>106</v>
      </c>
      <c r="D228" t="s">
        <v>63</v>
      </c>
      <c r="E228" s="1">
        <v>45464</v>
      </c>
      <c r="F228">
        <v>4.5999999999999996</v>
      </c>
      <c r="J228">
        <v>36</v>
      </c>
      <c r="K228">
        <v>20</v>
      </c>
    </row>
    <row r="229" spans="1:11" x14ac:dyDescent="0.3">
      <c r="A229" t="s">
        <v>1062</v>
      </c>
      <c r="B229" t="s">
        <v>1063</v>
      </c>
      <c r="C229">
        <v>114</v>
      </c>
      <c r="D229" t="s">
        <v>28</v>
      </c>
      <c r="E229" s="1">
        <v>45651</v>
      </c>
      <c r="J229">
        <v>79</v>
      </c>
      <c r="K229">
        <v>76</v>
      </c>
    </row>
    <row r="230" spans="1:11" x14ac:dyDescent="0.3">
      <c r="A230" t="s">
        <v>1704</v>
      </c>
      <c r="B230" t="s">
        <v>1705</v>
      </c>
      <c r="C230">
        <v>97</v>
      </c>
      <c r="D230" t="s">
        <v>28</v>
      </c>
      <c r="E230" s="1">
        <v>45499</v>
      </c>
      <c r="F230">
        <v>4.2</v>
      </c>
      <c r="J230">
        <v>43</v>
      </c>
      <c r="K230">
        <v>40</v>
      </c>
    </row>
    <row r="231" spans="1:11" x14ac:dyDescent="0.3">
      <c r="A231" t="s">
        <v>1918</v>
      </c>
      <c r="B231" t="s">
        <v>1919</v>
      </c>
      <c r="C231">
        <v>94</v>
      </c>
      <c r="D231" t="s">
        <v>28</v>
      </c>
      <c r="E231" s="1">
        <v>45471</v>
      </c>
      <c r="F231">
        <v>5.0999999999999996</v>
      </c>
      <c r="J231">
        <v>44</v>
      </c>
      <c r="K231">
        <v>24</v>
      </c>
    </row>
    <row r="232" spans="1:11" x14ac:dyDescent="0.3">
      <c r="A232" t="s">
        <v>1482</v>
      </c>
      <c r="B232" t="s">
        <v>1483</v>
      </c>
      <c r="C232">
        <v>97</v>
      </c>
      <c r="D232" t="s">
        <v>28</v>
      </c>
      <c r="E232" s="1">
        <v>44645</v>
      </c>
      <c r="J232">
        <v>56</v>
      </c>
      <c r="K232">
        <v>56</v>
      </c>
    </row>
    <row r="233" spans="1:11" x14ac:dyDescent="0.3">
      <c r="A233" t="s">
        <v>1410</v>
      </c>
      <c r="B233" t="s">
        <v>1411</v>
      </c>
      <c r="C233">
        <v>94</v>
      </c>
      <c r="D233" t="s">
        <v>28</v>
      </c>
      <c r="E233" s="1">
        <v>45730</v>
      </c>
      <c r="J233">
        <v>63</v>
      </c>
      <c r="K233">
        <v>59</v>
      </c>
    </row>
    <row r="234" spans="1:11" x14ac:dyDescent="0.3">
      <c r="A234" t="s">
        <v>104</v>
      </c>
      <c r="B234" t="s">
        <v>105</v>
      </c>
      <c r="C234">
        <v>105</v>
      </c>
      <c r="D234" t="s">
        <v>28</v>
      </c>
      <c r="E234" s="1">
        <v>45181</v>
      </c>
      <c r="J234">
        <v>53</v>
      </c>
      <c r="K234">
        <v>62</v>
      </c>
    </row>
    <row r="235" spans="1:11" x14ac:dyDescent="0.3">
      <c r="A235" t="s">
        <v>789</v>
      </c>
      <c r="B235" t="s">
        <v>790</v>
      </c>
      <c r="C235">
        <v>88</v>
      </c>
      <c r="D235" t="s">
        <v>28</v>
      </c>
      <c r="E235" s="1">
        <v>45331</v>
      </c>
      <c r="J235">
        <v>68</v>
      </c>
      <c r="K235">
        <v>85</v>
      </c>
    </row>
    <row r="236" spans="1:11" x14ac:dyDescent="0.3">
      <c r="A236" t="s">
        <v>1022</v>
      </c>
      <c r="B236" t="s">
        <v>1023</v>
      </c>
      <c r="C236">
        <v>107</v>
      </c>
      <c r="D236" t="s">
        <v>28</v>
      </c>
      <c r="E236" s="1">
        <v>45317</v>
      </c>
      <c r="J236">
        <v>66</v>
      </c>
      <c r="K236">
        <v>78</v>
      </c>
    </row>
    <row r="237" spans="1:11" x14ac:dyDescent="0.3">
      <c r="A237" t="s">
        <v>998</v>
      </c>
      <c r="B237" t="s">
        <v>999</v>
      </c>
      <c r="C237">
        <v>102</v>
      </c>
      <c r="D237" t="s">
        <v>28</v>
      </c>
      <c r="E237" s="1">
        <v>45513</v>
      </c>
      <c r="J237">
        <v>62</v>
      </c>
      <c r="K237">
        <v>79</v>
      </c>
    </row>
    <row r="238" spans="1:11" x14ac:dyDescent="0.3">
      <c r="A238" t="s">
        <v>844</v>
      </c>
      <c r="B238" t="s">
        <v>845</v>
      </c>
      <c r="C238">
        <v>132</v>
      </c>
      <c r="D238" t="s">
        <v>25</v>
      </c>
      <c r="E238" s="1">
        <v>45001</v>
      </c>
      <c r="J238">
        <v>67</v>
      </c>
      <c r="K238">
        <v>84</v>
      </c>
    </row>
    <row r="239" spans="1:11" x14ac:dyDescent="0.3">
      <c r="A239" t="s">
        <v>1718</v>
      </c>
      <c r="B239" t="s">
        <v>1719</v>
      </c>
      <c r="C239">
        <v>89</v>
      </c>
      <c r="D239" t="s">
        <v>18</v>
      </c>
      <c r="E239" s="1">
        <v>45670</v>
      </c>
      <c r="J239">
        <v>50</v>
      </c>
      <c r="K239">
        <v>39</v>
      </c>
    </row>
    <row r="240" spans="1:11" x14ac:dyDescent="0.3">
      <c r="A240" t="s">
        <v>1238</v>
      </c>
      <c r="B240" t="s">
        <v>1239</v>
      </c>
      <c r="C240">
        <v>87</v>
      </c>
      <c r="D240" t="s">
        <v>28</v>
      </c>
      <c r="E240" s="1">
        <v>45566</v>
      </c>
      <c r="J240">
        <v>52</v>
      </c>
      <c r="K240">
        <v>70</v>
      </c>
    </row>
    <row r="241" spans="1:11" x14ac:dyDescent="0.3">
      <c r="A241" t="s">
        <v>1044</v>
      </c>
      <c r="B241" t="s">
        <v>1045</v>
      </c>
      <c r="C241">
        <v>103</v>
      </c>
      <c r="D241" t="s">
        <v>28</v>
      </c>
      <c r="E241" s="1">
        <v>45191</v>
      </c>
      <c r="J241">
        <v>62</v>
      </c>
      <c r="K241">
        <v>77</v>
      </c>
    </row>
    <row r="242" spans="1:11" x14ac:dyDescent="0.3">
      <c r="A242" t="s">
        <v>1910</v>
      </c>
      <c r="B242" t="s">
        <v>1911</v>
      </c>
      <c r="C242">
        <v>109</v>
      </c>
      <c r="D242" t="s">
        <v>28</v>
      </c>
      <c r="E242" s="1">
        <v>44972</v>
      </c>
      <c r="J242">
        <v>41</v>
      </c>
      <c r="K242">
        <v>25</v>
      </c>
    </row>
    <row r="243" spans="1:11" x14ac:dyDescent="0.3">
      <c r="A243" t="s">
        <v>1282</v>
      </c>
      <c r="B243" t="s">
        <v>1283</v>
      </c>
      <c r="C243">
        <v>117</v>
      </c>
      <c r="D243" t="s">
        <v>28</v>
      </c>
      <c r="E243" s="1">
        <v>44806</v>
      </c>
      <c r="J243">
        <v>59</v>
      </c>
      <c r="K243">
        <v>68</v>
      </c>
    </row>
    <row r="244" spans="1:11" x14ac:dyDescent="0.3">
      <c r="A244" t="s">
        <v>1587</v>
      </c>
      <c r="B244" t="s">
        <v>1588</v>
      </c>
      <c r="C244">
        <v>118</v>
      </c>
      <c r="D244" t="s">
        <v>28</v>
      </c>
      <c r="E244" s="1">
        <v>45205</v>
      </c>
      <c r="J244">
        <v>48</v>
      </c>
      <c r="K244">
        <v>47</v>
      </c>
    </row>
    <row r="245" spans="1:11" x14ac:dyDescent="0.3">
      <c r="A245" t="s">
        <v>1958</v>
      </c>
      <c r="B245" t="s">
        <v>1959</v>
      </c>
      <c r="C245">
        <v>104</v>
      </c>
      <c r="D245" t="s">
        <v>28</v>
      </c>
      <c r="E245" s="1">
        <v>44799</v>
      </c>
      <c r="F245">
        <v>4.3</v>
      </c>
      <c r="J245">
        <v>39</v>
      </c>
      <c r="K245">
        <v>20</v>
      </c>
    </row>
    <row r="246" spans="1:11" x14ac:dyDescent="0.3">
      <c r="A246" t="s">
        <v>1706</v>
      </c>
      <c r="B246" t="s">
        <v>1707</v>
      </c>
      <c r="C246">
        <v>111</v>
      </c>
      <c r="D246" t="s">
        <v>15</v>
      </c>
      <c r="E246" s="1">
        <v>45471</v>
      </c>
      <c r="J246">
        <v>43</v>
      </c>
      <c r="K246">
        <v>40</v>
      </c>
    </row>
    <row r="247" spans="1:11" x14ac:dyDescent="0.3">
      <c r="A247" t="s">
        <v>1716</v>
      </c>
      <c r="B247" t="s">
        <v>1717</v>
      </c>
      <c r="C247">
        <v>104</v>
      </c>
      <c r="D247" t="s">
        <v>28</v>
      </c>
      <c r="E247" s="1">
        <v>45730</v>
      </c>
      <c r="J247">
        <v>42</v>
      </c>
      <c r="K247">
        <v>39</v>
      </c>
    </row>
    <row r="248" spans="1:11" x14ac:dyDescent="0.3">
      <c r="A248" t="s">
        <v>1486</v>
      </c>
      <c r="B248" t="s">
        <v>1487</v>
      </c>
      <c r="C248">
        <v>103</v>
      </c>
      <c r="D248" t="s">
        <v>28</v>
      </c>
      <c r="E248" s="1">
        <v>45716</v>
      </c>
      <c r="J248">
        <v>47</v>
      </c>
      <c r="K248">
        <v>55</v>
      </c>
    </row>
    <row r="249" spans="1:11" x14ac:dyDescent="0.3">
      <c r="A249" t="s">
        <v>1986</v>
      </c>
      <c r="B249" t="s">
        <v>1987</v>
      </c>
      <c r="C249">
        <v>100</v>
      </c>
      <c r="D249" t="s">
        <v>15</v>
      </c>
      <c r="E249" s="1">
        <v>45548</v>
      </c>
      <c r="F249">
        <v>4.7</v>
      </c>
      <c r="J249">
        <v>34</v>
      </c>
      <c r="K249">
        <v>14</v>
      </c>
    </row>
    <row r="250" spans="1:11" x14ac:dyDescent="0.3">
      <c r="A250" t="s">
        <v>1290</v>
      </c>
      <c r="B250" t="s">
        <v>1291</v>
      </c>
      <c r="C250">
        <v>100</v>
      </c>
      <c r="D250" t="s">
        <v>28</v>
      </c>
      <c r="E250" s="1">
        <v>45527</v>
      </c>
      <c r="F250">
        <v>5.0999999999999996</v>
      </c>
      <c r="J250">
        <v>55</v>
      </c>
      <c r="K250">
        <v>67</v>
      </c>
    </row>
    <row r="251" spans="1:11" x14ac:dyDescent="0.3">
      <c r="A251" t="s">
        <v>1396</v>
      </c>
      <c r="B251" t="s">
        <v>1397</v>
      </c>
      <c r="C251">
        <v>99</v>
      </c>
      <c r="D251" t="s">
        <v>28</v>
      </c>
      <c r="E251" s="1">
        <v>45632</v>
      </c>
      <c r="J251">
        <v>56</v>
      </c>
      <c r="K251">
        <v>60</v>
      </c>
    </row>
    <row r="252" spans="1:11" x14ac:dyDescent="0.3">
      <c r="A252" t="s">
        <v>120</v>
      </c>
      <c r="B252" t="s">
        <v>121</v>
      </c>
      <c r="C252">
        <v>93</v>
      </c>
      <c r="D252" t="s">
        <v>18</v>
      </c>
      <c r="E252" s="1">
        <v>45469</v>
      </c>
      <c r="F252">
        <v>4.7</v>
      </c>
      <c r="J252">
        <v>27</v>
      </c>
      <c r="K252">
        <v>47</v>
      </c>
    </row>
    <row r="253" spans="1:11" x14ac:dyDescent="0.3">
      <c r="A253" t="s">
        <v>1226</v>
      </c>
      <c r="B253" t="s">
        <v>1227</v>
      </c>
      <c r="C253">
        <v>106</v>
      </c>
      <c r="D253" t="s">
        <v>28</v>
      </c>
      <c r="E253" s="1">
        <v>44967</v>
      </c>
      <c r="J253">
        <v>57</v>
      </c>
      <c r="K253">
        <v>71</v>
      </c>
    </row>
    <row r="254" spans="1:11" x14ac:dyDescent="0.3">
      <c r="A254" t="s">
        <v>1922</v>
      </c>
      <c r="B254" t="s">
        <v>1923</v>
      </c>
      <c r="C254">
        <v>110</v>
      </c>
      <c r="D254" t="s">
        <v>28</v>
      </c>
      <c r="E254" s="1">
        <v>45237</v>
      </c>
      <c r="J254">
        <v>44</v>
      </c>
      <c r="K254">
        <v>24</v>
      </c>
    </row>
    <row r="255" spans="1:11" x14ac:dyDescent="0.3">
      <c r="A255" t="s">
        <v>1390</v>
      </c>
      <c r="B255" t="s">
        <v>1391</v>
      </c>
      <c r="C255">
        <v>95</v>
      </c>
      <c r="D255" t="s">
        <v>28</v>
      </c>
      <c r="E255" s="1">
        <v>45310</v>
      </c>
      <c r="J255">
        <v>53</v>
      </c>
      <c r="K255">
        <v>61</v>
      </c>
    </row>
    <row r="256" spans="1:11" x14ac:dyDescent="0.3">
      <c r="A256" t="s">
        <v>1720</v>
      </c>
      <c r="B256" t="s">
        <v>1721</v>
      </c>
      <c r="C256">
        <v>87</v>
      </c>
      <c r="D256" t="s">
        <v>90</v>
      </c>
      <c r="E256" s="1">
        <v>45616</v>
      </c>
      <c r="F256">
        <v>4.8</v>
      </c>
      <c r="J256">
        <v>34</v>
      </c>
      <c r="K256">
        <v>39</v>
      </c>
    </row>
    <row r="257" spans="1:11" x14ac:dyDescent="0.3">
      <c r="A257" t="s">
        <v>1734</v>
      </c>
      <c r="B257" t="s">
        <v>1735</v>
      </c>
      <c r="C257">
        <v>106</v>
      </c>
      <c r="D257" t="s">
        <v>28</v>
      </c>
      <c r="E257" s="1">
        <v>44729</v>
      </c>
      <c r="J257">
        <v>54</v>
      </c>
      <c r="K257">
        <v>39</v>
      </c>
    </row>
    <row r="258" spans="1:11" x14ac:dyDescent="0.3">
      <c r="A258" t="s">
        <v>1970</v>
      </c>
      <c r="B258" t="s">
        <v>1971</v>
      </c>
      <c r="C258">
        <v>95</v>
      </c>
      <c r="D258" t="s">
        <v>28</v>
      </c>
      <c r="E258" s="1">
        <v>45561</v>
      </c>
      <c r="J258">
        <v>33</v>
      </c>
      <c r="K258">
        <v>17</v>
      </c>
    </row>
    <row r="259" spans="1:11" x14ac:dyDescent="0.3">
      <c r="A259" t="s">
        <v>1714</v>
      </c>
      <c r="B259" t="s">
        <v>1715</v>
      </c>
      <c r="C259">
        <v>96</v>
      </c>
      <c r="D259" t="s">
        <v>15</v>
      </c>
      <c r="E259" s="1">
        <v>44778</v>
      </c>
      <c r="J259">
        <v>41</v>
      </c>
      <c r="K259">
        <v>40</v>
      </c>
    </row>
    <row r="260" spans="1:11" x14ac:dyDescent="0.3">
      <c r="A260" t="s">
        <v>1974</v>
      </c>
      <c r="B260" t="s">
        <v>1975</v>
      </c>
      <c r="C260">
        <v>102</v>
      </c>
      <c r="D260" t="s">
        <v>15</v>
      </c>
      <c r="E260" s="1">
        <v>44729</v>
      </c>
      <c r="F260">
        <v>3.8</v>
      </c>
      <c r="J260">
        <v>38</v>
      </c>
      <c r="K260">
        <v>17</v>
      </c>
    </row>
    <row r="261" spans="1:11" x14ac:dyDescent="0.3">
      <c r="A261" t="s">
        <v>1300</v>
      </c>
      <c r="B261" t="s">
        <v>1301</v>
      </c>
      <c r="C261">
        <v>104</v>
      </c>
      <c r="D261" t="s">
        <v>28</v>
      </c>
      <c r="E261" s="1">
        <v>44999</v>
      </c>
      <c r="J261">
        <v>64</v>
      </c>
      <c r="K261">
        <v>67</v>
      </c>
    </row>
    <row r="262" spans="1:11" x14ac:dyDescent="0.3">
      <c r="A262" t="s">
        <v>1563</v>
      </c>
      <c r="B262" t="s">
        <v>1564</v>
      </c>
      <c r="C262">
        <v>109</v>
      </c>
      <c r="D262" t="s">
        <v>28</v>
      </c>
      <c r="E262" s="1">
        <v>45687</v>
      </c>
      <c r="J262">
        <v>51</v>
      </c>
      <c r="K262">
        <v>48</v>
      </c>
    </row>
    <row r="263" spans="1:11" x14ac:dyDescent="0.3">
      <c r="A263" t="s">
        <v>1374</v>
      </c>
      <c r="B263" t="s">
        <v>1375</v>
      </c>
      <c r="C263">
        <v>98</v>
      </c>
      <c r="D263" t="s">
        <v>28</v>
      </c>
      <c r="E263" s="1">
        <v>45624</v>
      </c>
      <c r="J263">
        <v>57</v>
      </c>
      <c r="K263">
        <v>62</v>
      </c>
    </row>
    <row r="264" spans="1:11" x14ac:dyDescent="0.3">
      <c r="A264" t="s">
        <v>1376</v>
      </c>
      <c r="B264" t="s">
        <v>1377</v>
      </c>
      <c r="C264">
        <v>88</v>
      </c>
      <c r="D264" t="s">
        <v>28</v>
      </c>
      <c r="E264" s="1">
        <v>45138</v>
      </c>
      <c r="J264">
        <v>61</v>
      </c>
      <c r="K264">
        <v>62</v>
      </c>
    </row>
    <row r="265" spans="1:11" x14ac:dyDescent="0.3">
      <c r="A265" t="s">
        <v>1054</v>
      </c>
      <c r="B265" t="s">
        <v>1055</v>
      </c>
      <c r="C265">
        <v>95</v>
      </c>
      <c r="D265" t="s">
        <v>18</v>
      </c>
      <c r="E265" s="1">
        <v>44988</v>
      </c>
      <c r="J265">
        <v>65</v>
      </c>
      <c r="K265">
        <v>77</v>
      </c>
    </row>
    <row r="266" spans="1:11" x14ac:dyDescent="0.3">
      <c r="A266" t="s">
        <v>952</v>
      </c>
      <c r="B266" t="s">
        <v>953</v>
      </c>
      <c r="C266">
        <v>97</v>
      </c>
      <c r="D266" t="s">
        <v>28</v>
      </c>
      <c r="E266" s="1">
        <v>45268</v>
      </c>
      <c r="J266">
        <v>72</v>
      </c>
      <c r="K266">
        <v>81</v>
      </c>
    </row>
    <row r="267" spans="1:11" x14ac:dyDescent="0.3">
      <c r="A267" t="s">
        <v>628</v>
      </c>
      <c r="B267" t="s">
        <v>629</v>
      </c>
      <c r="C267">
        <v>102</v>
      </c>
      <c r="D267" t="s">
        <v>28</v>
      </c>
      <c r="E267" s="1">
        <v>45310</v>
      </c>
      <c r="J267">
        <v>65</v>
      </c>
      <c r="K267">
        <v>89</v>
      </c>
    </row>
    <row r="268" spans="1:11" x14ac:dyDescent="0.3">
      <c r="A268" t="s">
        <v>600</v>
      </c>
      <c r="B268" t="s">
        <v>601</v>
      </c>
      <c r="C268">
        <v>92</v>
      </c>
      <c r="D268" t="s">
        <v>12</v>
      </c>
      <c r="E268" s="1">
        <v>45282</v>
      </c>
      <c r="J268">
        <v>87</v>
      </c>
      <c r="K268">
        <v>90</v>
      </c>
    </row>
    <row r="269" spans="1:11" x14ac:dyDescent="0.3">
      <c r="A269" t="s">
        <v>879</v>
      </c>
      <c r="B269" t="s">
        <v>880</v>
      </c>
      <c r="C269">
        <v>117</v>
      </c>
      <c r="D269" t="s">
        <v>12</v>
      </c>
      <c r="E269" s="1">
        <v>44743</v>
      </c>
      <c r="J269">
        <v>65</v>
      </c>
      <c r="K269">
        <v>83</v>
      </c>
    </row>
    <row r="270" spans="1:11" x14ac:dyDescent="0.3">
      <c r="A270" t="s">
        <v>1530</v>
      </c>
      <c r="B270" t="s">
        <v>1531</v>
      </c>
      <c r="C270">
        <v>101</v>
      </c>
      <c r="D270" t="s">
        <v>28</v>
      </c>
      <c r="E270" s="1">
        <v>45548</v>
      </c>
      <c r="J270">
        <v>54</v>
      </c>
      <c r="K270">
        <v>51</v>
      </c>
    </row>
    <row r="271" spans="1:11" x14ac:dyDescent="0.3">
      <c r="A271" t="s">
        <v>1160</v>
      </c>
      <c r="B271" t="s">
        <v>1161</v>
      </c>
      <c r="C271">
        <v>85</v>
      </c>
      <c r="D271" t="s">
        <v>28</v>
      </c>
      <c r="E271" s="1">
        <v>45210</v>
      </c>
      <c r="J271">
        <v>60</v>
      </c>
      <c r="K271">
        <v>73</v>
      </c>
    </row>
    <row r="272" spans="1:11" x14ac:dyDescent="0.3">
      <c r="A272" t="s">
        <v>490</v>
      </c>
      <c r="B272" t="s">
        <v>491</v>
      </c>
      <c r="C272">
        <v>94</v>
      </c>
      <c r="D272" t="s">
        <v>28</v>
      </c>
      <c r="E272" s="1">
        <v>44682</v>
      </c>
      <c r="J272">
        <v>77</v>
      </c>
      <c r="K272">
        <v>93</v>
      </c>
    </row>
    <row r="273" spans="1:11" x14ac:dyDescent="0.3">
      <c r="A273" t="s">
        <v>1827</v>
      </c>
      <c r="B273" t="s">
        <v>1828</v>
      </c>
      <c r="C273">
        <v>112</v>
      </c>
      <c r="D273" t="s">
        <v>28</v>
      </c>
      <c r="E273" s="1">
        <v>45072</v>
      </c>
      <c r="J273">
        <v>37</v>
      </c>
      <c r="K273">
        <v>31</v>
      </c>
    </row>
    <row r="274" spans="1:11" x14ac:dyDescent="0.3">
      <c r="A274" t="s">
        <v>1942</v>
      </c>
      <c r="B274" t="s">
        <v>1943</v>
      </c>
      <c r="C274">
        <v>111</v>
      </c>
      <c r="D274" t="s">
        <v>28</v>
      </c>
      <c r="E274" s="1">
        <v>45205</v>
      </c>
      <c r="F274">
        <v>4.8</v>
      </c>
      <c r="J274">
        <v>39</v>
      </c>
      <c r="K274">
        <v>22</v>
      </c>
    </row>
    <row r="275" spans="1:11" x14ac:dyDescent="0.3">
      <c r="A275" t="s">
        <v>663</v>
      </c>
      <c r="B275" t="s">
        <v>664</v>
      </c>
      <c r="C275">
        <v>111</v>
      </c>
      <c r="D275" t="s">
        <v>28</v>
      </c>
      <c r="E275" s="1">
        <v>45527</v>
      </c>
      <c r="F275">
        <v>4.7</v>
      </c>
      <c r="J275">
        <v>30</v>
      </c>
      <c r="K275">
        <v>88</v>
      </c>
    </row>
    <row r="276" spans="1:11" x14ac:dyDescent="0.3">
      <c r="A276" t="s">
        <v>645</v>
      </c>
      <c r="B276" t="s">
        <v>646</v>
      </c>
      <c r="C276">
        <v>116</v>
      </c>
      <c r="D276" t="s">
        <v>28</v>
      </c>
      <c r="E276" s="1">
        <v>44887</v>
      </c>
      <c r="J276">
        <v>76</v>
      </c>
      <c r="K276">
        <v>89</v>
      </c>
    </row>
    <row r="277" spans="1:11" x14ac:dyDescent="0.3">
      <c r="A277" t="s">
        <v>1100</v>
      </c>
      <c r="B277" t="s">
        <v>1101</v>
      </c>
      <c r="C277">
        <v>119</v>
      </c>
      <c r="D277" t="s">
        <v>28</v>
      </c>
      <c r="E277" s="1">
        <v>45772</v>
      </c>
      <c r="J277">
        <v>59</v>
      </c>
      <c r="K277">
        <v>75</v>
      </c>
    </row>
    <row r="278" spans="1:11" x14ac:dyDescent="0.3">
      <c r="A278" t="s">
        <v>1779</v>
      </c>
      <c r="B278" t="s">
        <v>1780</v>
      </c>
      <c r="C278">
        <v>115</v>
      </c>
      <c r="D278" t="s">
        <v>28</v>
      </c>
      <c r="E278" s="1">
        <v>44638</v>
      </c>
      <c r="J278">
        <v>53</v>
      </c>
      <c r="K278">
        <v>35</v>
      </c>
    </row>
    <row r="279" spans="1:11" x14ac:dyDescent="0.3">
      <c r="A279" t="s">
        <v>1559</v>
      </c>
      <c r="B279" t="s">
        <v>1560</v>
      </c>
      <c r="C279">
        <v>98</v>
      </c>
      <c r="D279" t="s">
        <v>28</v>
      </c>
      <c r="E279" s="1">
        <v>45359</v>
      </c>
      <c r="J279">
        <v>53</v>
      </c>
      <c r="K279">
        <v>49</v>
      </c>
    </row>
    <row r="280" spans="1:11" x14ac:dyDescent="0.3">
      <c r="A280" t="s">
        <v>697</v>
      </c>
      <c r="B280" t="s">
        <v>698</v>
      </c>
      <c r="C280">
        <v>104</v>
      </c>
      <c r="D280" t="s">
        <v>28</v>
      </c>
      <c r="E280" s="1">
        <v>45429</v>
      </c>
      <c r="J280">
        <v>72</v>
      </c>
      <c r="K280">
        <v>87</v>
      </c>
    </row>
    <row r="281" spans="1:11" x14ac:dyDescent="0.3">
      <c r="A281" t="s">
        <v>132</v>
      </c>
      <c r="B281" t="s">
        <v>133</v>
      </c>
      <c r="C281">
        <v>106</v>
      </c>
      <c r="D281" t="s">
        <v>15</v>
      </c>
      <c r="E281" s="1">
        <v>45736</v>
      </c>
      <c r="F281">
        <v>5</v>
      </c>
      <c r="J281">
        <v>41</v>
      </c>
      <c r="K281">
        <v>38</v>
      </c>
    </row>
    <row r="282" spans="1:11" x14ac:dyDescent="0.3">
      <c r="A282" t="s">
        <v>1557</v>
      </c>
      <c r="B282" t="s">
        <v>1558</v>
      </c>
      <c r="C282">
        <v>93</v>
      </c>
      <c r="D282" t="s">
        <v>28</v>
      </c>
      <c r="E282" s="1">
        <v>45632</v>
      </c>
      <c r="F282">
        <v>4.4000000000000004</v>
      </c>
      <c r="J282">
        <v>46</v>
      </c>
      <c r="K282">
        <v>49</v>
      </c>
    </row>
    <row r="283" spans="1:11" x14ac:dyDescent="0.3">
      <c r="A283" t="s">
        <v>2010</v>
      </c>
      <c r="B283" t="s">
        <v>2011</v>
      </c>
      <c r="C283">
        <v>101</v>
      </c>
      <c r="D283" t="s">
        <v>28</v>
      </c>
      <c r="E283" s="1">
        <v>44799</v>
      </c>
      <c r="F283">
        <v>5.0999999999999996</v>
      </c>
      <c r="J283">
        <v>25</v>
      </c>
      <c r="K283">
        <v>7</v>
      </c>
    </row>
    <row r="284" spans="1:11" x14ac:dyDescent="0.3">
      <c r="A284" t="s">
        <v>1326</v>
      </c>
      <c r="B284" t="s">
        <v>1327</v>
      </c>
      <c r="C284">
        <v>129</v>
      </c>
      <c r="D284" t="s">
        <v>15</v>
      </c>
      <c r="E284" s="1">
        <v>45303</v>
      </c>
      <c r="J284">
        <v>57</v>
      </c>
      <c r="K284">
        <v>65</v>
      </c>
    </row>
    <row r="285" spans="1:11" x14ac:dyDescent="0.3">
      <c r="A285" t="s">
        <v>661</v>
      </c>
      <c r="B285" t="s">
        <v>662</v>
      </c>
      <c r="C285">
        <v>127</v>
      </c>
      <c r="D285" t="s">
        <v>15</v>
      </c>
      <c r="E285" s="1">
        <v>45604</v>
      </c>
      <c r="J285">
        <v>69</v>
      </c>
      <c r="K285">
        <v>88</v>
      </c>
    </row>
    <row r="286" spans="1:11" x14ac:dyDescent="0.3">
      <c r="A286" t="s">
        <v>1182</v>
      </c>
      <c r="B286" t="s">
        <v>1183</v>
      </c>
      <c r="C286">
        <v>105</v>
      </c>
      <c r="D286" t="s">
        <v>28</v>
      </c>
      <c r="E286" s="1">
        <v>45225</v>
      </c>
      <c r="J286">
        <v>55</v>
      </c>
      <c r="K286">
        <v>72</v>
      </c>
    </row>
    <row r="287" spans="1:11" x14ac:dyDescent="0.3">
      <c r="A287" t="s">
        <v>1484</v>
      </c>
      <c r="B287" t="s">
        <v>1485</v>
      </c>
      <c r="C287">
        <v>106</v>
      </c>
      <c r="D287" t="s">
        <v>28</v>
      </c>
      <c r="E287" s="1">
        <v>44617</v>
      </c>
      <c r="J287">
        <v>50</v>
      </c>
      <c r="K287">
        <v>56</v>
      </c>
    </row>
    <row r="288" spans="1:11" x14ac:dyDescent="0.3">
      <c r="A288" t="s">
        <v>1466</v>
      </c>
      <c r="B288" t="s">
        <v>1467</v>
      </c>
      <c r="C288">
        <v>112</v>
      </c>
      <c r="D288" t="s">
        <v>28</v>
      </c>
      <c r="E288" s="1">
        <v>45597</v>
      </c>
      <c r="F288">
        <v>5.2</v>
      </c>
      <c r="J288">
        <v>51</v>
      </c>
      <c r="K288">
        <v>56</v>
      </c>
    </row>
    <row r="289" spans="1:11" x14ac:dyDescent="0.3">
      <c r="A289" t="s">
        <v>1906</v>
      </c>
      <c r="B289" t="s">
        <v>1907</v>
      </c>
      <c r="C289">
        <v>104</v>
      </c>
      <c r="D289" t="s">
        <v>15</v>
      </c>
      <c r="E289" s="1">
        <v>45359</v>
      </c>
      <c r="F289">
        <v>4.7</v>
      </c>
      <c r="J289">
        <v>34</v>
      </c>
      <c r="K289">
        <v>25</v>
      </c>
    </row>
    <row r="290" spans="1:11" x14ac:dyDescent="0.3">
      <c r="A290" t="s">
        <v>1992</v>
      </c>
      <c r="B290" t="s">
        <v>1993</v>
      </c>
      <c r="C290">
        <v>88</v>
      </c>
      <c r="D290" t="s">
        <v>160</v>
      </c>
      <c r="E290" s="1">
        <v>45421</v>
      </c>
      <c r="F290">
        <v>4.8</v>
      </c>
      <c r="J290">
        <v>39</v>
      </c>
      <c r="K290">
        <v>13</v>
      </c>
    </row>
    <row r="291" spans="1:11" x14ac:dyDescent="0.3">
      <c r="A291" t="s">
        <v>1868</v>
      </c>
      <c r="B291" t="s">
        <v>1869</v>
      </c>
      <c r="C291">
        <v>98</v>
      </c>
      <c r="D291" t="s">
        <v>28</v>
      </c>
      <c r="E291" s="1">
        <v>45499</v>
      </c>
      <c r="F291">
        <v>4.8</v>
      </c>
      <c r="J291">
        <v>44</v>
      </c>
      <c r="K291">
        <v>28</v>
      </c>
    </row>
    <row r="292" spans="1:11" x14ac:dyDescent="0.3">
      <c r="A292" t="s">
        <v>1823</v>
      </c>
      <c r="B292" t="s">
        <v>1824</v>
      </c>
      <c r="C292">
        <v>92</v>
      </c>
      <c r="D292" t="s">
        <v>15</v>
      </c>
      <c r="E292" s="1">
        <v>45177</v>
      </c>
      <c r="J292">
        <v>35</v>
      </c>
      <c r="K292">
        <v>31</v>
      </c>
    </row>
    <row r="293" spans="1:11" x14ac:dyDescent="0.3">
      <c r="A293" t="s">
        <v>1700</v>
      </c>
      <c r="B293" t="s">
        <v>1701</v>
      </c>
      <c r="C293">
        <v>94</v>
      </c>
      <c r="D293" t="s">
        <v>28</v>
      </c>
      <c r="E293" s="1">
        <v>45568</v>
      </c>
      <c r="J293">
        <v>45</v>
      </c>
      <c r="K293">
        <v>40</v>
      </c>
    </row>
    <row r="294" spans="1:11" x14ac:dyDescent="0.3">
      <c r="A294" t="s">
        <v>1674</v>
      </c>
      <c r="B294" t="s">
        <v>1675</v>
      </c>
      <c r="C294">
        <v>89</v>
      </c>
      <c r="D294" t="s">
        <v>28</v>
      </c>
      <c r="E294" s="1">
        <v>45582</v>
      </c>
      <c r="J294">
        <v>50</v>
      </c>
      <c r="K294">
        <v>42</v>
      </c>
    </row>
    <row r="295" spans="1:11" x14ac:dyDescent="0.3">
      <c r="A295" t="s">
        <v>1272</v>
      </c>
      <c r="B295" t="s">
        <v>1273</v>
      </c>
      <c r="C295">
        <v>112</v>
      </c>
      <c r="D295" t="s">
        <v>15</v>
      </c>
      <c r="E295" s="1">
        <v>45303</v>
      </c>
      <c r="J295">
        <v>58</v>
      </c>
      <c r="K295">
        <v>68</v>
      </c>
    </row>
    <row r="296" spans="1:11" x14ac:dyDescent="0.3">
      <c r="A296" t="s">
        <v>1418</v>
      </c>
      <c r="B296" t="s">
        <v>1419</v>
      </c>
      <c r="C296">
        <v>98</v>
      </c>
      <c r="D296" t="s">
        <v>28</v>
      </c>
      <c r="E296" s="1">
        <v>45198</v>
      </c>
      <c r="J296">
        <v>58</v>
      </c>
      <c r="K296">
        <v>59</v>
      </c>
    </row>
    <row r="297" spans="1:11" x14ac:dyDescent="0.3">
      <c r="A297" t="s">
        <v>1362</v>
      </c>
      <c r="B297" t="s">
        <v>1363</v>
      </c>
      <c r="C297">
        <v>135</v>
      </c>
      <c r="D297" t="s">
        <v>28</v>
      </c>
      <c r="E297" s="1">
        <v>44848</v>
      </c>
      <c r="J297">
        <v>65</v>
      </c>
      <c r="K297">
        <v>63</v>
      </c>
    </row>
    <row r="298" spans="1:11" x14ac:dyDescent="0.3">
      <c r="A298" t="s">
        <v>1096</v>
      </c>
      <c r="B298" t="s">
        <v>1097</v>
      </c>
      <c r="C298">
        <v>116</v>
      </c>
      <c r="D298" t="s">
        <v>15</v>
      </c>
      <c r="E298" s="1">
        <v>44827</v>
      </c>
      <c r="J298">
        <v>52</v>
      </c>
      <c r="K298">
        <v>76</v>
      </c>
    </row>
    <row r="299" spans="1:11" x14ac:dyDescent="0.3">
      <c r="A299" t="s">
        <v>364</v>
      </c>
      <c r="B299" t="s">
        <v>365</v>
      </c>
      <c r="C299">
        <v>96</v>
      </c>
      <c r="D299" t="s">
        <v>15</v>
      </c>
      <c r="E299" s="1">
        <v>44897</v>
      </c>
      <c r="J299">
        <v>80</v>
      </c>
      <c r="K299">
        <v>95</v>
      </c>
    </row>
    <row r="300" spans="1:11" x14ac:dyDescent="0.3">
      <c r="A300" t="s">
        <v>1180</v>
      </c>
      <c r="B300" t="s">
        <v>1181</v>
      </c>
      <c r="C300">
        <v>105</v>
      </c>
      <c r="D300" t="s">
        <v>28</v>
      </c>
      <c r="E300" s="1">
        <v>45246</v>
      </c>
      <c r="J300">
        <v>53</v>
      </c>
      <c r="K300">
        <v>72</v>
      </c>
    </row>
    <row r="301" spans="1:11" x14ac:dyDescent="0.3">
      <c r="A301" t="s">
        <v>602</v>
      </c>
      <c r="B301" t="s">
        <v>603</v>
      </c>
      <c r="C301">
        <v>89</v>
      </c>
      <c r="D301" t="s">
        <v>28</v>
      </c>
      <c r="E301" s="1">
        <v>45244</v>
      </c>
      <c r="J301">
        <v>64</v>
      </c>
      <c r="K301">
        <v>90</v>
      </c>
    </row>
    <row r="302" spans="1:11" x14ac:dyDescent="0.3">
      <c r="A302" t="s">
        <v>701</v>
      </c>
      <c r="B302" t="s">
        <v>702</v>
      </c>
      <c r="C302">
        <v>97</v>
      </c>
      <c r="D302" t="s">
        <v>28</v>
      </c>
      <c r="E302" s="1">
        <v>45093</v>
      </c>
      <c r="J302">
        <v>67</v>
      </c>
      <c r="K302">
        <v>87</v>
      </c>
    </row>
    <row r="303" spans="1:11" x14ac:dyDescent="0.3">
      <c r="A303" t="s">
        <v>647</v>
      </c>
      <c r="B303" t="s">
        <v>648</v>
      </c>
      <c r="C303">
        <v>84</v>
      </c>
      <c r="D303" t="s">
        <v>15</v>
      </c>
      <c r="E303" s="1">
        <v>44713</v>
      </c>
      <c r="J303">
        <v>74</v>
      </c>
      <c r="K303">
        <v>89</v>
      </c>
    </row>
    <row r="304" spans="1:11" x14ac:dyDescent="0.3">
      <c r="A304" t="s">
        <v>836</v>
      </c>
      <c r="B304" t="s">
        <v>837</v>
      </c>
      <c r="C304">
        <v>107</v>
      </c>
      <c r="D304" t="s">
        <v>28</v>
      </c>
      <c r="E304" s="1">
        <v>45265</v>
      </c>
      <c r="J304">
        <v>61</v>
      </c>
      <c r="K304">
        <v>84</v>
      </c>
    </row>
    <row r="305" spans="1:11" x14ac:dyDescent="0.3">
      <c r="A305" t="s">
        <v>649</v>
      </c>
      <c r="B305" t="s">
        <v>650</v>
      </c>
      <c r="C305">
        <v>93</v>
      </c>
      <c r="D305" t="s">
        <v>28</v>
      </c>
      <c r="E305" s="1">
        <v>44631</v>
      </c>
      <c r="J305">
        <v>71</v>
      </c>
      <c r="K305">
        <v>89</v>
      </c>
    </row>
    <row r="306" spans="1:11" x14ac:dyDescent="0.3">
      <c r="A306" t="s">
        <v>639</v>
      </c>
      <c r="B306" t="s">
        <v>640</v>
      </c>
      <c r="C306">
        <v>107</v>
      </c>
      <c r="D306" t="s">
        <v>28</v>
      </c>
      <c r="E306" s="1">
        <v>45049</v>
      </c>
      <c r="J306">
        <v>86</v>
      </c>
      <c r="K306">
        <v>89</v>
      </c>
    </row>
    <row r="307" spans="1:11" x14ac:dyDescent="0.3">
      <c r="A307" t="s">
        <v>1130</v>
      </c>
      <c r="B307" t="s">
        <v>1131</v>
      </c>
      <c r="C307">
        <v>96</v>
      </c>
      <c r="D307" t="s">
        <v>28</v>
      </c>
      <c r="E307" s="1">
        <v>44785</v>
      </c>
      <c r="J307">
        <v>59</v>
      </c>
      <c r="K307">
        <v>75</v>
      </c>
    </row>
    <row r="308" spans="1:11" x14ac:dyDescent="0.3">
      <c r="A308" t="s">
        <v>713</v>
      </c>
      <c r="B308" t="s">
        <v>714</v>
      </c>
      <c r="C308">
        <v>114</v>
      </c>
      <c r="D308" t="s">
        <v>28</v>
      </c>
      <c r="E308" s="1">
        <v>44758</v>
      </c>
      <c r="J308">
        <v>73</v>
      </c>
      <c r="K308">
        <v>87</v>
      </c>
    </row>
    <row r="309" spans="1:11" x14ac:dyDescent="0.3">
      <c r="A309" t="s">
        <v>1208</v>
      </c>
      <c r="B309" t="s">
        <v>1209</v>
      </c>
      <c r="C309">
        <v>86</v>
      </c>
      <c r="D309" t="s">
        <v>28</v>
      </c>
      <c r="E309" s="1">
        <v>45562</v>
      </c>
      <c r="J309">
        <v>52</v>
      </c>
      <c r="K309">
        <v>71</v>
      </c>
    </row>
    <row r="310" spans="1:11" x14ac:dyDescent="0.3">
      <c r="A310" t="s">
        <v>1126</v>
      </c>
      <c r="B310" t="s">
        <v>1127</v>
      </c>
      <c r="C310">
        <v>109</v>
      </c>
      <c r="D310" t="s">
        <v>18</v>
      </c>
      <c r="E310" s="1">
        <v>44854</v>
      </c>
      <c r="J310">
        <v>58</v>
      </c>
      <c r="K310">
        <v>75</v>
      </c>
    </row>
    <row r="311" spans="1:11" x14ac:dyDescent="0.3">
      <c r="A311" t="s">
        <v>1152</v>
      </c>
      <c r="B311" t="s">
        <v>1153</v>
      </c>
      <c r="C311">
        <v>85</v>
      </c>
      <c r="D311" t="s">
        <v>28</v>
      </c>
      <c r="E311" s="1">
        <v>45303</v>
      </c>
      <c r="J311">
        <v>59</v>
      </c>
      <c r="K311">
        <v>73</v>
      </c>
    </row>
    <row r="312" spans="1:11" x14ac:dyDescent="0.3">
      <c r="A312" t="s">
        <v>1338</v>
      </c>
      <c r="B312" t="s">
        <v>1339</v>
      </c>
      <c r="C312">
        <v>104</v>
      </c>
      <c r="D312" t="s">
        <v>63</v>
      </c>
      <c r="E312" s="1">
        <v>45448</v>
      </c>
      <c r="F312">
        <v>5.2</v>
      </c>
      <c r="J312">
        <v>57</v>
      </c>
      <c r="K312">
        <v>64</v>
      </c>
    </row>
    <row r="313" spans="1:11" x14ac:dyDescent="0.3">
      <c r="A313" t="s">
        <v>1667</v>
      </c>
      <c r="B313" t="s">
        <v>1668</v>
      </c>
      <c r="C313">
        <v>167</v>
      </c>
      <c r="D313" t="s">
        <v>1669</v>
      </c>
      <c r="E313" s="1">
        <v>44832</v>
      </c>
      <c r="J313">
        <v>50</v>
      </c>
      <c r="K313">
        <v>43</v>
      </c>
    </row>
    <row r="314" spans="1:11" x14ac:dyDescent="0.3">
      <c r="A314" t="s">
        <v>1404</v>
      </c>
      <c r="B314" t="s">
        <v>1405</v>
      </c>
      <c r="C314">
        <v>90</v>
      </c>
      <c r="D314" t="s">
        <v>25</v>
      </c>
      <c r="E314" s="1">
        <v>45135</v>
      </c>
      <c r="J314">
        <v>54</v>
      </c>
      <c r="K314">
        <v>60</v>
      </c>
    </row>
    <row r="315" spans="1:11" x14ac:dyDescent="0.3">
      <c r="A315" t="s">
        <v>1936</v>
      </c>
      <c r="B315" t="s">
        <v>1937</v>
      </c>
      <c r="C315">
        <v>111</v>
      </c>
      <c r="D315" t="s">
        <v>28</v>
      </c>
      <c r="E315" s="1">
        <v>44694</v>
      </c>
      <c r="J315">
        <v>47</v>
      </c>
      <c r="K315">
        <v>23</v>
      </c>
    </row>
    <row r="316" spans="1:11" x14ac:dyDescent="0.3">
      <c r="A316" t="s">
        <v>1902</v>
      </c>
      <c r="B316" t="s">
        <v>1903</v>
      </c>
      <c r="C316">
        <v>84</v>
      </c>
      <c r="D316" t="s">
        <v>15</v>
      </c>
      <c r="E316" s="1">
        <v>45534</v>
      </c>
      <c r="F316">
        <v>5.2</v>
      </c>
      <c r="J316">
        <v>28</v>
      </c>
      <c r="K316">
        <v>25</v>
      </c>
    </row>
    <row r="317" spans="1:11" x14ac:dyDescent="0.3">
      <c r="A317" t="s">
        <v>618</v>
      </c>
      <c r="B317" t="s">
        <v>619</v>
      </c>
      <c r="C317">
        <v>89</v>
      </c>
      <c r="D317" t="s">
        <v>28</v>
      </c>
      <c r="E317" s="1">
        <v>45660</v>
      </c>
      <c r="J317">
        <v>64</v>
      </c>
      <c r="K317">
        <v>89</v>
      </c>
    </row>
    <row r="318" spans="1:11" x14ac:dyDescent="0.3">
      <c r="A318" t="s">
        <v>1849</v>
      </c>
      <c r="B318" t="s">
        <v>1850</v>
      </c>
      <c r="C318">
        <v>91</v>
      </c>
      <c r="D318" t="s">
        <v>28</v>
      </c>
      <c r="E318" s="1">
        <v>45681</v>
      </c>
      <c r="J318">
        <v>38</v>
      </c>
      <c r="K318">
        <v>29</v>
      </c>
    </row>
    <row r="319" spans="1:11" x14ac:dyDescent="0.3">
      <c r="A319" t="s">
        <v>1776</v>
      </c>
      <c r="B319">
        <v>65</v>
      </c>
      <c r="C319">
        <v>93</v>
      </c>
      <c r="D319" t="s">
        <v>15</v>
      </c>
      <c r="E319" s="1">
        <v>44995</v>
      </c>
      <c r="J319">
        <v>40</v>
      </c>
      <c r="K319">
        <v>35</v>
      </c>
    </row>
    <row r="320" spans="1:11" x14ac:dyDescent="0.3">
      <c r="A320" t="s">
        <v>693</v>
      </c>
      <c r="B320" t="s">
        <v>694</v>
      </c>
      <c r="C320">
        <v>102</v>
      </c>
      <c r="D320" t="s">
        <v>28</v>
      </c>
      <c r="E320" s="1">
        <v>45898</v>
      </c>
      <c r="J320">
        <v>66</v>
      </c>
      <c r="K320">
        <v>87</v>
      </c>
    </row>
    <row r="321" spans="1:11" x14ac:dyDescent="0.3">
      <c r="A321" t="s">
        <v>1202</v>
      </c>
      <c r="B321" t="s">
        <v>1203</v>
      </c>
      <c r="C321">
        <v>94</v>
      </c>
      <c r="D321" t="s">
        <v>28</v>
      </c>
      <c r="E321" s="1">
        <v>44701</v>
      </c>
      <c r="J321">
        <v>62</v>
      </c>
      <c r="K321">
        <v>72</v>
      </c>
    </row>
    <row r="322" spans="1:11" x14ac:dyDescent="0.3">
      <c r="A322" t="s">
        <v>174</v>
      </c>
      <c r="B322" t="s">
        <v>175</v>
      </c>
      <c r="C322">
        <v>100</v>
      </c>
      <c r="D322" t="s">
        <v>28</v>
      </c>
      <c r="E322" s="1">
        <v>45303</v>
      </c>
      <c r="J322">
        <v>38</v>
      </c>
      <c r="K322">
        <v>100</v>
      </c>
    </row>
    <row r="323" spans="1:11" x14ac:dyDescent="0.3">
      <c r="A323" t="s">
        <v>1670</v>
      </c>
      <c r="B323" t="s">
        <v>1671</v>
      </c>
      <c r="C323">
        <v>111</v>
      </c>
      <c r="D323" t="s">
        <v>15</v>
      </c>
      <c r="E323" s="1">
        <v>44804</v>
      </c>
      <c r="J323">
        <v>45</v>
      </c>
      <c r="K323">
        <v>43</v>
      </c>
    </row>
    <row r="324" spans="1:11" x14ac:dyDescent="0.3">
      <c r="A324" t="s">
        <v>930</v>
      </c>
      <c r="B324" t="s">
        <v>931</v>
      </c>
      <c r="C324">
        <v>103</v>
      </c>
      <c r="D324" t="s">
        <v>28</v>
      </c>
      <c r="E324" s="1">
        <v>44778</v>
      </c>
      <c r="J324">
        <v>70</v>
      </c>
      <c r="K324">
        <v>82</v>
      </c>
    </row>
    <row r="325" spans="1:11" x14ac:dyDescent="0.3">
      <c r="A325" t="s">
        <v>1781</v>
      </c>
      <c r="B325" t="s">
        <v>1782</v>
      </c>
      <c r="C325">
        <v>112</v>
      </c>
      <c r="D325" t="s">
        <v>28</v>
      </c>
      <c r="E325" s="1">
        <v>45534</v>
      </c>
      <c r="F325">
        <v>5.0999999999999996</v>
      </c>
      <c r="J325">
        <v>39</v>
      </c>
      <c r="K325">
        <v>34</v>
      </c>
    </row>
    <row r="326" spans="1:11" x14ac:dyDescent="0.3">
      <c r="A326" t="s">
        <v>940</v>
      </c>
      <c r="B326" t="s">
        <v>941</v>
      </c>
      <c r="C326">
        <v>120</v>
      </c>
      <c r="D326" t="s">
        <v>15</v>
      </c>
      <c r="E326" s="1">
        <v>45597</v>
      </c>
      <c r="J326">
        <v>71</v>
      </c>
      <c r="K326">
        <v>81</v>
      </c>
    </row>
    <row r="327" spans="1:11" x14ac:dyDescent="0.3">
      <c r="A327" t="s">
        <v>1944</v>
      </c>
      <c r="B327" t="s">
        <v>1945</v>
      </c>
      <c r="C327">
        <v>95</v>
      </c>
      <c r="D327" t="s">
        <v>28</v>
      </c>
      <c r="E327" s="1">
        <v>45114</v>
      </c>
      <c r="J327">
        <v>36</v>
      </c>
      <c r="K327">
        <v>22</v>
      </c>
    </row>
    <row r="328" spans="1:11" x14ac:dyDescent="0.3">
      <c r="A328" t="s">
        <v>1793</v>
      </c>
      <c r="B328" t="s">
        <v>1794</v>
      </c>
      <c r="C328">
        <v>139</v>
      </c>
      <c r="D328" t="s">
        <v>15</v>
      </c>
      <c r="E328" s="1">
        <v>45324</v>
      </c>
      <c r="J328">
        <v>35</v>
      </c>
      <c r="K328">
        <v>33</v>
      </c>
    </row>
    <row r="329" spans="1:11" x14ac:dyDescent="0.3">
      <c r="A329" t="s">
        <v>1813</v>
      </c>
      <c r="B329" t="s">
        <v>1814</v>
      </c>
      <c r="C329">
        <v>105</v>
      </c>
      <c r="D329" t="s">
        <v>15</v>
      </c>
      <c r="E329" s="1">
        <v>44799</v>
      </c>
      <c r="J329">
        <v>45</v>
      </c>
      <c r="K329">
        <v>32</v>
      </c>
    </row>
    <row r="330" spans="1:11" x14ac:dyDescent="0.3">
      <c r="A330" t="s">
        <v>61</v>
      </c>
      <c r="B330" t="s">
        <v>62</v>
      </c>
      <c r="C330">
        <v>92</v>
      </c>
      <c r="D330" t="s">
        <v>63</v>
      </c>
      <c r="E330" s="1">
        <v>45576</v>
      </c>
      <c r="J330">
        <v>69</v>
      </c>
      <c r="K330">
        <v>84</v>
      </c>
    </row>
    <row r="331" spans="1:11" x14ac:dyDescent="0.3">
      <c r="A331" t="s">
        <v>1330</v>
      </c>
      <c r="B331" t="s">
        <v>1331</v>
      </c>
      <c r="C331">
        <v>95</v>
      </c>
      <c r="D331" t="s">
        <v>28</v>
      </c>
      <c r="E331" s="1">
        <v>44981</v>
      </c>
      <c r="J331">
        <v>54</v>
      </c>
      <c r="K331">
        <v>65</v>
      </c>
    </row>
    <row r="332" spans="1:11" x14ac:dyDescent="0.3">
      <c r="A332" t="s">
        <v>1888</v>
      </c>
      <c r="B332" t="s">
        <v>1889</v>
      </c>
      <c r="C332">
        <v>84</v>
      </c>
      <c r="D332" t="s">
        <v>15</v>
      </c>
      <c r="E332" s="1">
        <v>44617</v>
      </c>
      <c r="F332">
        <v>4.9000000000000004</v>
      </c>
      <c r="J332">
        <v>35</v>
      </c>
      <c r="K332">
        <v>27</v>
      </c>
    </row>
    <row r="333" spans="1:11" x14ac:dyDescent="0.3">
      <c r="A333" t="s">
        <v>1601</v>
      </c>
      <c r="B333" t="s">
        <v>1602</v>
      </c>
      <c r="C333">
        <v>91</v>
      </c>
      <c r="D333" t="s">
        <v>28</v>
      </c>
      <c r="E333" s="1">
        <v>45688</v>
      </c>
      <c r="J333">
        <v>52</v>
      </c>
      <c r="K333">
        <v>46</v>
      </c>
    </row>
    <row r="334" spans="1:11" x14ac:dyDescent="0.3">
      <c r="A334" t="s">
        <v>1659</v>
      </c>
      <c r="B334" t="s">
        <v>1660</v>
      </c>
      <c r="C334">
        <v>110</v>
      </c>
      <c r="D334" t="s">
        <v>15</v>
      </c>
      <c r="E334" s="1">
        <v>45224</v>
      </c>
      <c r="J334">
        <v>60</v>
      </c>
      <c r="K334">
        <v>43</v>
      </c>
    </row>
    <row r="335" spans="1:11" x14ac:dyDescent="0.3">
      <c r="A335" t="s">
        <v>110</v>
      </c>
      <c r="B335" t="s">
        <v>111</v>
      </c>
      <c r="C335">
        <v>101</v>
      </c>
      <c r="D335" t="s">
        <v>28</v>
      </c>
      <c r="E335" s="1">
        <v>45681</v>
      </c>
      <c r="J335">
        <v>55</v>
      </c>
      <c r="K335">
        <v>55</v>
      </c>
    </row>
    <row r="336" spans="1:11" x14ac:dyDescent="0.3">
      <c r="A336" t="s">
        <v>1754</v>
      </c>
      <c r="B336" t="s">
        <v>1755</v>
      </c>
      <c r="C336">
        <v>90</v>
      </c>
      <c r="D336" t="s">
        <v>15</v>
      </c>
      <c r="E336" s="1">
        <v>45072</v>
      </c>
      <c r="J336">
        <v>39</v>
      </c>
      <c r="K336">
        <v>37</v>
      </c>
    </row>
    <row r="337" spans="1:11" x14ac:dyDescent="0.3">
      <c r="A337" t="s">
        <v>1924</v>
      </c>
      <c r="B337" t="s">
        <v>1925</v>
      </c>
      <c r="C337">
        <v>156</v>
      </c>
      <c r="D337" t="s">
        <v>18</v>
      </c>
      <c r="E337" s="1">
        <v>45100</v>
      </c>
      <c r="J337">
        <v>31</v>
      </c>
      <c r="K337">
        <v>24</v>
      </c>
    </row>
    <row r="338" spans="1:11" x14ac:dyDescent="0.3">
      <c r="A338" t="s">
        <v>1577</v>
      </c>
      <c r="B338" t="s">
        <v>1578</v>
      </c>
      <c r="C338">
        <v>94</v>
      </c>
      <c r="D338" t="s">
        <v>28</v>
      </c>
      <c r="E338" s="1">
        <v>45729</v>
      </c>
      <c r="J338">
        <v>45</v>
      </c>
      <c r="K338">
        <v>47</v>
      </c>
    </row>
    <row r="339" spans="1:11" x14ac:dyDescent="0.3">
      <c r="A339" t="s">
        <v>1268</v>
      </c>
      <c r="B339" t="s">
        <v>1269</v>
      </c>
      <c r="C339">
        <v>96</v>
      </c>
      <c r="D339" t="s">
        <v>28</v>
      </c>
      <c r="E339" s="1">
        <v>45520</v>
      </c>
      <c r="J339">
        <v>61</v>
      </c>
      <c r="K339">
        <v>68</v>
      </c>
    </row>
    <row r="340" spans="1:11" x14ac:dyDescent="0.3">
      <c r="A340" t="s">
        <v>992</v>
      </c>
      <c r="B340" t="s">
        <v>993</v>
      </c>
      <c r="C340">
        <v>107</v>
      </c>
      <c r="D340" t="s">
        <v>28</v>
      </c>
      <c r="E340" s="1">
        <v>44706</v>
      </c>
      <c r="J340">
        <v>68</v>
      </c>
      <c r="K340">
        <v>80</v>
      </c>
    </row>
    <row r="341" spans="1:11" x14ac:dyDescent="0.3">
      <c r="A341" t="s">
        <v>1599</v>
      </c>
      <c r="B341" t="s">
        <v>1600</v>
      </c>
      <c r="C341">
        <v>118</v>
      </c>
      <c r="D341" t="s">
        <v>15</v>
      </c>
      <c r="E341" s="1">
        <v>45702</v>
      </c>
      <c r="J341">
        <v>42</v>
      </c>
      <c r="K341">
        <v>46</v>
      </c>
    </row>
    <row r="342" spans="1:11" x14ac:dyDescent="0.3">
      <c r="A342" t="s">
        <v>824</v>
      </c>
      <c r="B342" t="s">
        <v>825</v>
      </c>
      <c r="C342">
        <v>120</v>
      </c>
      <c r="D342" t="s">
        <v>28</v>
      </c>
      <c r="E342" s="1">
        <v>44610</v>
      </c>
      <c r="J342">
        <v>70</v>
      </c>
      <c r="K342">
        <v>85</v>
      </c>
    </row>
    <row r="343" spans="1:11" x14ac:dyDescent="0.3">
      <c r="A343" t="s">
        <v>1222</v>
      </c>
      <c r="B343" t="s">
        <v>1223</v>
      </c>
      <c r="C343">
        <v>111</v>
      </c>
      <c r="D343" t="s">
        <v>28</v>
      </c>
      <c r="E343" s="1">
        <v>45072</v>
      </c>
      <c r="J343">
        <v>63</v>
      </c>
      <c r="K343">
        <v>71</v>
      </c>
    </row>
    <row r="344" spans="1:11" x14ac:dyDescent="0.3">
      <c r="A344" t="s">
        <v>1976</v>
      </c>
      <c r="B344" t="s">
        <v>1977</v>
      </c>
      <c r="C344">
        <v>165</v>
      </c>
      <c r="D344" t="s">
        <v>28</v>
      </c>
      <c r="E344" s="1">
        <v>45023</v>
      </c>
      <c r="J344">
        <v>30</v>
      </c>
      <c r="K344">
        <v>16</v>
      </c>
    </row>
    <row r="345" spans="1:11" x14ac:dyDescent="0.3">
      <c r="A345" t="s">
        <v>1036</v>
      </c>
      <c r="B345" t="s">
        <v>1037</v>
      </c>
      <c r="C345">
        <v>98</v>
      </c>
      <c r="D345" t="s">
        <v>28</v>
      </c>
      <c r="E345" s="1">
        <v>45709</v>
      </c>
      <c r="J345">
        <v>62</v>
      </c>
      <c r="K345">
        <v>77</v>
      </c>
    </row>
    <row r="346" spans="1:11" x14ac:dyDescent="0.3">
      <c r="A346" t="s">
        <v>84</v>
      </c>
      <c r="B346" t="s">
        <v>85</v>
      </c>
      <c r="C346">
        <v>91</v>
      </c>
      <c r="D346" t="s">
        <v>28</v>
      </c>
      <c r="E346" s="1">
        <v>44624</v>
      </c>
      <c r="J346">
        <v>69</v>
      </c>
      <c r="K346">
        <v>77</v>
      </c>
    </row>
    <row r="347" spans="1:11" x14ac:dyDescent="0.3">
      <c r="A347" t="s">
        <v>796</v>
      </c>
      <c r="B347" t="s">
        <v>797</v>
      </c>
      <c r="C347">
        <v>92</v>
      </c>
      <c r="D347" t="s">
        <v>28</v>
      </c>
      <c r="E347" s="1">
        <v>45142</v>
      </c>
      <c r="J347">
        <v>67</v>
      </c>
      <c r="K347">
        <v>85</v>
      </c>
    </row>
    <row r="348" spans="1:11" x14ac:dyDescent="0.3">
      <c r="A348" t="s">
        <v>412</v>
      </c>
      <c r="B348" t="s">
        <v>413</v>
      </c>
      <c r="C348">
        <v>77</v>
      </c>
      <c r="D348" t="s">
        <v>18</v>
      </c>
      <c r="E348" s="1">
        <v>45016</v>
      </c>
      <c r="J348">
        <v>74</v>
      </c>
      <c r="K348">
        <v>94</v>
      </c>
    </row>
    <row r="349" spans="1:11" x14ac:dyDescent="0.3">
      <c r="A349" t="s">
        <v>150</v>
      </c>
      <c r="B349" t="s">
        <v>151</v>
      </c>
      <c r="C349">
        <v>101</v>
      </c>
      <c r="D349" t="s">
        <v>28</v>
      </c>
      <c r="E349" s="1">
        <v>45736</v>
      </c>
      <c r="J349">
        <v>73</v>
      </c>
      <c r="K349">
        <v>100</v>
      </c>
    </row>
    <row r="350" spans="1:11" x14ac:dyDescent="0.3">
      <c r="A350" t="s">
        <v>208</v>
      </c>
      <c r="B350" t="s">
        <v>209</v>
      </c>
      <c r="C350">
        <v>92</v>
      </c>
      <c r="D350" t="s">
        <v>28</v>
      </c>
      <c r="E350" s="1">
        <v>45156</v>
      </c>
      <c r="J350">
        <v>77</v>
      </c>
      <c r="K350">
        <v>98</v>
      </c>
    </row>
    <row r="351" spans="1:11" x14ac:dyDescent="0.3">
      <c r="A351" t="s">
        <v>928</v>
      </c>
      <c r="B351" t="s">
        <v>929</v>
      </c>
      <c r="C351">
        <v>100</v>
      </c>
      <c r="D351" t="s">
        <v>28</v>
      </c>
      <c r="E351" s="1">
        <v>44831</v>
      </c>
      <c r="J351">
        <v>79</v>
      </c>
      <c r="K351">
        <v>82</v>
      </c>
    </row>
    <row r="352" spans="1:11" x14ac:dyDescent="0.3">
      <c r="A352" t="s">
        <v>1368</v>
      </c>
      <c r="B352" t="s">
        <v>1369</v>
      </c>
      <c r="C352">
        <v>101</v>
      </c>
      <c r="D352" t="s">
        <v>28</v>
      </c>
      <c r="E352" s="1">
        <v>44659</v>
      </c>
      <c r="J352">
        <v>62</v>
      </c>
      <c r="K352">
        <v>63</v>
      </c>
    </row>
    <row r="353" spans="1:11" x14ac:dyDescent="0.3">
      <c r="A353" t="s">
        <v>122</v>
      </c>
      <c r="B353" t="s">
        <v>123</v>
      </c>
      <c r="C353">
        <v>114</v>
      </c>
      <c r="D353" t="s">
        <v>28</v>
      </c>
      <c r="E353" s="1">
        <v>45568</v>
      </c>
      <c r="J353">
        <v>47</v>
      </c>
      <c r="K353">
        <v>46</v>
      </c>
    </row>
    <row r="354" spans="1:11" x14ac:dyDescent="0.3">
      <c r="A354" t="s">
        <v>1597</v>
      </c>
      <c r="B354" t="s">
        <v>1598</v>
      </c>
      <c r="C354">
        <v>99</v>
      </c>
      <c r="D354" t="s">
        <v>63</v>
      </c>
      <c r="E354" s="1">
        <v>44715</v>
      </c>
      <c r="F354">
        <v>4.7</v>
      </c>
      <c r="J354">
        <v>51</v>
      </c>
      <c r="K354">
        <v>47</v>
      </c>
    </row>
    <row r="355" spans="1:11" x14ac:dyDescent="0.3">
      <c r="A355" t="s">
        <v>1712</v>
      </c>
      <c r="B355" t="s">
        <v>1713</v>
      </c>
      <c r="C355">
        <v>111</v>
      </c>
      <c r="D355" t="s">
        <v>28</v>
      </c>
      <c r="E355" s="1">
        <v>44848</v>
      </c>
      <c r="F355">
        <v>5</v>
      </c>
      <c r="J355">
        <v>47</v>
      </c>
      <c r="K355">
        <v>40</v>
      </c>
    </row>
    <row r="356" spans="1:11" x14ac:dyDescent="0.3">
      <c r="A356" t="s">
        <v>76</v>
      </c>
      <c r="B356" t="s">
        <v>77</v>
      </c>
      <c r="C356">
        <v>92</v>
      </c>
      <c r="D356" t="s">
        <v>28</v>
      </c>
      <c r="E356" s="1">
        <v>45394</v>
      </c>
      <c r="J356">
        <v>57</v>
      </c>
      <c r="K356">
        <v>78</v>
      </c>
    </row>
    <row r="357" spans="1:11" x14ac:dyDescent="0.3">
      <c r="A357" t="s">
        <v>1364</v>
      </c>
      <c r="B357" t="s">
        <v>1365</v>
      </c>
      <c r="C357">
        <v>100</v>
      </c>
      <c r="D357" t="s">
        <v>28</v>
      </c>
      <c r="E357" s="1">
        <v>44817</v>
      </c>
      <c r="J357">
        <v>50</v>
      </c>
      <c r="K357">
        <v>63</v>
      </c>
    </row>
    <row r="358" spans="1:11" x14ac:dyDescent="0.3">
      <c r="A358" t="s">
        <v>1224</v>
      </c>
      <c r="B358" t="s">
        <v>1225</v>
      </c>
      <c r="C358">
        <v>108</v>
      </c>
      <c r="D358" t="s">
        <v>15</v>
      </c>
      <c r="E358" s="1">
        <v>45051</v>
      </c>
      <c r="J358">
        <v>59</v>
      </c>
      <c r="K358">
        <v>71</v>
      </c>
    </row>
    <row r="359" spans="1:11" x14ac:dyDescent="0.3">
      <c r="A359" t="s">
        <v>97</v>
      </c>
      <c r="B359" t="s">
        <v>98</v>
      </c>
      <c r="C359">
        <v>100</v>
      </c>
      <c r="D359" t="s">
        <v>28</v>
      </c>
      <c r="E359" s="1">
        <v>44834</v>
      </c>
      <c r="J359">
        <v>69</v>
      </c>
      <c r="K359">
        <v>68</v>
      </c>
    </row>
    <row r="360" spans="1:11" x14ac:dyDescent="0.3">
      <c r="A360" t="s">
        <v>1686</v>
      </c>
      <c r="B360" t="s">
        <v>1687</v>
      </c>
      <c r="C360">
        <v>89</v>
      </c>
      <c r="D360" t="s">
        <v>90</v>
      </c>
      <c r="E360" s="1">
        <v>44623</v>
      </c>
      <c r="J360">
        <v>51</v>
      </c>
      <c r="K360">
        <v>42</v>
      </c>
    </row>
    <row r="361" spans="1:11" x14ac:dyDescent="0.3">
      <c r="A361" t="s">
        <v>1192</v>
      </c>
      <c r="B361" t="s">
        <v>1193</v>
      </c>
      <c r="C361">
        <v>84</v>
      </c>
      <c r="D361" t="s">
        <v>28</v>
      </c>
      <c r="E361" s="1">
        <v>44841</v>
      </c>
      <c r="J361">
        <v>57</v>
      </c>
      <c r="K361">
        <v>72</v>
      </c>
    </row>
    <row r="362" spans="1:11" x14ac:dyDescent="0.3">
      <c r="A362" t="s">
        <v>1835</v>
      </c>
      <c r="B362" t="s">
        <v>1836</v>
      </c>
      <c r="C362">
        <v>134</v>
      </c>
      <c r="D362" t="s">
        <v>28</v>
      </c>
      <c r="E362" s="1">
        <v>44841</v>
      </c>
      <c r="J362">
        <v>49</v>
      </c>
      <c r="K362">
        <v>31</v>
      </c>
    </row>
    <row r="363" spans="1:11" x14ac:dyDescent="0.3">
      <c r="A363" t="s">
        <v>1950</v>
      </c>
      <c r="B363" t="s">
        <v>1951</v>
      </c>
      <c r="C363">
        <v>101</v>
      </c>
      <c r="D363" t="s">
        <v>28</v>
      </c>
      <c r="E363" s="1">
        <v>45030</v>
      </c>
      <c r="J363">
        <v>42</v>
      </c>
      <c r="K363">
        <v>21</v>
      </c>
    </row>
    <row r="364" spans="1:11" x14ac:dyDescent="0.3">
      <c r="A364" t="s">
        <v>842</v>
      </c>
      <c r="B364" t="s">
        <v>843</v>
      </c>
      <c r="C364">
        <v>91</v>
      </c>
      <c r="D364" t="s">
        <v>18</v>
      </c>
      <c r="E364" s="1">
        <v>45100</v>
      </c>
      <c r="J364">
        <v>62</v>
      </c>
      <c r="K364">
        <v>84</v>
      </c>
    </row>
    <row r="365" spans="1:11" x14ac:dyDescent="0.3">
      <c r="A365" t="s">
        <v>1988</v>
      </c>
      <c r="B365" t="s">
        <v>1989</v>
      </c>
      <c r="C365">
        <v>103</v>
      </c>
      <c r="D365" t="s">
        <v>28</v>
      </c>
      <c r="E365" s="1">
        <v>45191</v>
      </c>
      <c r="F365">
        <v>4.8</v>
      </c>
      <c r="J365">
        <v>30</v>
      </c>
      <c r="K365">
        <v>14</v>
      </c>
    </row>
    <row r="366" spans="1:11" x14ac:dyDescent="0.3">
      <c r="A366" t="s">
        <v>1770</v>
      </c>
      <c r="B366" t="s">
        <v>1771</v>
      </c>
      <c r="C366">
        <v>107</v>
      </c>
      <c r="D366" t="s">
        <v>15</v>
      </c>
      <c r="E366" s="1">
        <v>45520</v>
      </c>
      <c r="J366">
        <v>44</v>
      </c>
      <c r="K366">
        <v>35</v>
      </c>
    </row>
    <row r="367" spans="1:11" x14ac:dyDescent="0.3">
      <c r="A367" t="s">
        <v>1847</v>
      </c>
      <c r="B367" t="s">
        <v>1848</v>
      </c>
      <c r="C367">
        <v>108</v>
      </c>
      <c r="D367" t="s">
        <v>12</v>
      </c>
      <c r="E367" s="1">
        <v>44757</v>
      </c>
      <c r="J367">
        <v>42</v>
      </c>
      <c r="K367">
        <v>30</v>
      </c>
    </row>
    <row r="368" spans="1:11" x14ac:dyDescent="0.3">
      <c r="A368" t="s">
        <v>1262</v>
      </c>
      <c r="B368" t="s">
        <v>1263</v>
      </c>
      <c r="C368">
        <v>100</v>
      </c>
      <c r="D368" t="s">
        <v>28</v>
      </c>
      <c r="E368" s="1">
        <v>44701</v>
      </c>
      <c r="J368">
        <v>65</v>
      </c>
      <c r="K368">
        <v>69</v>
      </c>
    </row>
    <row r="369" spans="1:11" x14ac:dyDescent="0.3">
      <c r="A369" t="s">
        <v>675</v>
      </c>
      <c r="B369" t="s">
        <v>676</v>
      </c>
      <c r="C369">
        <v>96</v>
      </c>
      <c r="D369" t="s">
        <v>28</v>
      </c>
      <c r="E369" s="1">
        <v>45065</v>
      </c>
      <c r="J369">
        <v>67</v>
      </c>
      <c r="K369">
        <v>88</v>
      </c>
    </row>
    <row r="370" spans="1:11" x14ac:dyDescent="0.3">
      <c r="A370" t="s">
        <v>1872</v>
      </c>
      <c r="B370" t="s">
        <v>1873</v>
      </c>
      <c r="C370">
        <v>104</v>
      </c>
      <c r="D370" t="s">
        <v>28</v>
      </c>
      <c r="E370" s="1">
        <v>45637</v>
      </c>
      <c r="F370">
        <v>4.3</v>
      </c>
      <c r="J370">
        <v>42</v>
      </c>
      <c r="K370">
        <v>27</v>
      </c>
    </row>
    <row r="371" spans="1:11" x14ac:dyDescent="0.3">
      <c r="A371" t="s">
        <v>148</v>
      </c>
      <c r="B371" t="s">
        <v>149</v>
      </c>
      <c r="C371">
        <v>122</v>
      </c>
      <c r="D371" t="s">
        <v>15</v>
      </c>
      <c r="E371" s="1">
        <v>45401</v>
      </c>
      <c r="J371">
        <v>35</v>
      </c>
      <c r="K371">
        <v>16</v>
      </c>
    </row>
    <row r="372" spans="1:11" x14ac:dyDescent="0.3">
      <c r="A372" t="s">
        <v>1442</v>
      </c>
      <c r="B372" t="s">
        <v>1443</v>
      </c>
      <c r="C372">
        <v>101</v>
      </c>
      <c r="D372" t="s">
        <v>28</v>
      </c>
      <c r="E372" s="1">
        <v>45555</v>
      </c>
      <c r="J372">
        <v>55</v>
      </c>
      <c r="K372">
        <v>57</v>
      </c>
    </row>
    <row r="373" spans="1:11" x14ac:dyDescent="0.3">
      <c r="A373" t="s">
        <v>1722</v>
      </c>
      <c r="B373" t="s">
        <v>1723</v>
      </c>
      <c r="C373">
        <v>94</v>
      </c>
      <c r="D373" t="s">
        <v>28</v>
      </c>
      <c r="E373" s="1">
        <v>45576</v>
      </c>
      <c r="J373">
        <v>46</v>
      </c>
      <c r="K373">
        <v>39</v>
      </c>
    </row>
    <row r="374" spans="1:11" x14ac:dyDescent="0.3">
      <c r="A374" t="s">
        <v>783</v>
      </c>
      <c r="B374" t="s">
        <v>784</v>
      </c>
      <c r="C374">
        <v>100</v>
      </c>
      <c r="D374" t="s">
        <v>15</v>
      </c>
      <c r="E374" s="1">
        <v>45429</v>
      </c>
      <c r="J374">
        <v>86</v>
      </c>
      <c r="K374">
        <v>85</v>
      </c>
    </row>
    <row r="375" spans="1:11" x14ac:dyDescent="0.3">
      <c r="A375" t="s">
        <v>703</v>
      </c>
      <c r="B375" t="s">
        <v>704</v>
      </c>
      <c r="C375">
        <v>117</v>
      </c>
      <c r="D375" t="s">
        <v>28</v>
      </c>
      <c r="E375" s="1">
        <v>44953</v>
      </c>
      <c r="J375">
        <v>72</v>
      </c>
      <c r="K375">
        <v>87</v>
      </c>
    </row>
    <row r="376" spans="1:11" x14ac:dyDescent="0.3">
      <c r="A376" t="s">
        <v>576</v>
      </c>
      <c r="B376" t="s">
        <v>577</v>
      </c>
      <c r="C376">
        <v>105</v>
      </c>
      <c r="D376" t="s">
        <v>28</v>
      </c>
      <c r="E376" s="1">
        <v>44708</v>
      </c>
      <c r="J376">
        <v>73</v>
      </c>
      <c r="K376">
        <v>91</v>
      </c>
    </row>
    <row r="377" spans="1:11" x14ac:dyDescent="0.3">
      <c r="A377" t="s">
        <v>49</v>
      </c>
      <c r="B377" t="s">
        <v>50</v>
      </c>
      <c r="C377">
        <v>111</v>
      </c>
      <c r="D377" t="s">
        <v>12</v>
      </c>
      <c r="E377" s="1">
        <v>45449</v>
      </c>
      <c r="J377">
        <v>66</v>
      </c>
      <c r="K377">
        <v>90</v>
      </c>
    </row>
    <row r="378" spans="1:11" x14ac:dyDescent="0.3">
      <c r="A378" t="s">
        <v>1896</v>
      </c>
      <c r="B378" t="s">
        <v>1897</v>
      </c>
      <c r="C378">
        <v>204</v>
      </c>
      <c r="D378" t="s">
        <v>18</v>
      </c>
      <c r="E378" s="1">
        <v>45261</v>
      </c>
      <c r="J378">
        <v>33</v>
      </c>
      <c r="K378">
        <v>26</v>
      </c>
    </row>
    <row r="379" spans="1:11" x14ac:dyDescent="0.3">
      <c r="A379" t="s">
        <v>1571</v>
      </c>
      <c r="B379" t="s">
        <v>1572</v>
      </c>
      <c r="C379">
        <v>102</v>
      </c>
      <c r="D379" t="s">
        <v>28</v>
      </c>
      <c r="E379" s="1">
        <v>45211</v>
      </c>
      <c r="J379">
        <v>53</v>
      </c>
      <c r="K379">
        <v>48</v>
      </c>
    </row>
    <row r="380" spans="1:11" x14ac:dyDescent="0.3">
      <c r="A380" t="s">
        <v>655</v>
      </c>
      <c r="B380" t="s">
        <v>656</v>
      </c>
      <c r="C380">
        <v>84</v>
      </c>
      <c r="D380" t="s">
        <v>28</v>
      </c>
      <c r="E380" s="1">
        <v>45681</v>
      </c>
      <c r="J380">
        <v>77</v>
      </c>
      <c r="K380">
        <v>88</v>
      </c>
    </row>
    <row r="381" spans="1:11" x14ac:dyDescent="0.3">
      <c r="A381" t="s">
        <v>1678</v>
      </c>
      <c r="B381" t="s">
        <v>1679</v>
      </c>
      <c r="C381">
        <v>92</v>
      </c>
      <c r="D381" t="s">
        <v>28</v>
      </c>
      <c r="E381" s="1">
        <v>45247</v>
      </c>
      <c r="J381">
        <v>49</v>
      </c>
      <c r="K381">
        <v>42</v>
      </c>
    </row>
    <row r="382" spans="1:11" x14ac:dyDescent="0.3">
      <c r="A382" t="s">
        <v>1694</v>
      </c>
      <c r="B382" t="s">
        <v>1695</v>
      </c>
      <c r="C382">
        <v>93</v>
      </c>
      <c r="D382" t="s">
        <v>160</v>
      </c>
      <c r="E382" s="1">
        <v>45366</v>
      </c>
      <c r="F382">
        <v>5.2</v>
      </c>
      <c r="J382">
        <v>46</v>
      </c>
      <c r="K382">
        <v>41</v>
      </c>
    </row>
    <row r="383" spans="1:11" x14ac:dyDescent="0.3">
      <c r="A383" t="s">
        <v>1623</v>
      </c>
      <c r="B383" t="s">
        <v>1624</v>
      </c>
      <c r="C383">
        <v>107</v>
      </c>
      <c r="D383" t="s">
        <v>28</v>
      </c>
      <c r="E383" s="1">
        <v>45562</v>
      </c>
      <c r="J383">
        <v>49</v>
      </c>
      <c r="K383">
        <v>45</v>
      </c>
    </row>
    <row r="384" spans="1:11" x14ac:dyDescent="0.3">
      <c r="A384" t="s">
        <v>755</v>
      </c>
      <c r="B384" t="s">
        <v>756</v>
      </c>
      <c r="C384">
        <v>83</v>
      </c>
      <c r="D384" t="s">
        <v>28</v>
      </c>
      <c r="E384" s="1">
        <v>44939</v>
      </c>
      <c r="J384">
        <v>62</v>
      </c>
      <c r="K384">
        <v>86</v>
      </c>
    </row>
    <row r="385" spans="1:11" x14ac:dyDescent="0.3">
      <c r="A385" t="s">
        <v>1740</v>
      </c>
      <c r="B385" t="s">
        <v>1741</v>
      </c>
      <c r="C385">
        <v>166</v>
      </c>
      <c r="D385" t="s">
        <v>18</v>
      </c>
      <c r="E385" s="1">
        <v>45316</v>
      </c>
      <c r="J385">
        <v>63</v>
      </c>
      <c r="K385">
        <v>38</v>
      </c>
    </row>
    <row r="386" spans="1:11" x14ac:dyDescent="0.3">
      <c r="A386" t="s">
        <v>1789</v>
      </c>
      <c r="B386" t="s">
        <v>1790</v>
      </c>
      <c r="C386">
        <v>99</v>
      </c>
      <c r="D386" t="s">
        <v>15</v>
      </c>
      <c r="E386" s="1">
        <v>45674</v>
      </c>
      <c r="F386">
        <v>4.7</v>
      </c>
      <c r="J386">
        <v>50</v>
      </c>
      <c r="K386">
        <v>33</v>
      </c>
    </row>
    <row r="387" spans="1:11" x14ac:dyDescent="0.3">
      <c r="A387" t="s">
        <v>1738</v>
      </c>
      <c r="B387" t="s">
        <v>1739</v>
      </c>
      <c r="C387">
        <v>108</v>
      </c>
      <c r="D387" t="s">
        <v>28</v>
      </c>
      <c r="E387" s="1">
        <v>45534</v>
      </c>
      <c r="J387">
        <v>52</v>
      </c>
      <c r="K387">
        <v>38</v>
      </c>
    </row>
    <row r="388" spans="1:11" x14ac:dyDescent="0.3">
      <c r="A388" t="s">
        <v>1900</v>
      </c>
      <c r="B388" t="s">
        <v>1901</v>
      </c>
      <c r="C388">
        <v>93</v>
      </c>
      <c r="D388" t="s">
        <v>18</v>
      </c>
      <c r="E388" s="1">
        <v>44904</v>
      </c>
      <c r="F388">
        <v>4</v>
      </c>
      <c r="J388">
        <v>29</v>
      </c>
      <c r="K388">
        <v>26</v>
      </c>
    </row>
    <row r="389" spans="1:11" x14ac:dyDescent="0.3">
      <c r="A389" t="s">
        <v>1774</v>
      </c>
      <c r="B389" t="s">
        <v>1775</v>
      </c>
      <c r="C389">
        <v>103</v>
      </c>
      <c r="D389" t="s">
        <v>90</v>
      </c>
      <c r="E389" s="1">
        <v>45134</v>
      </c>
      <c r="J389">
        <v>48</v>
      </c>
      <c r="K389">
        <v>35</v>
      </c>
    </row>
    <row r="390" spans="1:11" x14ac:dyDescent="0.3">
      <c r="A390" t="s">
        <v>1690</v>
      </c>
      <c r="B390" t="s">
        <v>1691</v>
      </c>
      <c r="C390">
        <v>101</v>
      </c>
      <c r="D390" t="s">
        <v>28</v>
      </c>
      <c r="E390" s="1">
        <v>45513</v>
      </c>
      <c r="J390">
        <v>48</v>
      </c>
      <c r="K390">
        <v>41</v>
      </c>
    </row>
    <row r="391" spans="1:11" x14ac:dyDescent="0.3">
      <c r="A391" t="s">
        <v>1994</v>
      </c>
      <c r="B391" t="s">
        <v>1995</v>
      </c>
      <c r="C391">
        <v>104</v>
      </c>
      <c r="D391" t="s">
        <v>15</v>
      </c>
      <c r="E391" s="1">
        <v>44603</v>
      </c>
      <c r="F391">
        <v>4.8</v>
      </c>
      <c r="J391">
        <v>27</v>
      </c>
      <c r="K391">
        <v>12</v>
      </c>
    </row>
    <row r="392" spans="1:11" x14ac:dyDescent="0.3">
      <c r="A392" t="s">
        <v>1402</v>
      </c>
      <c r="B392" t="s">
        <v>1403</v>
      </c>
      <c r="C392">
        <v>104</v>
      </c>
      <c r="D392" t="s">
        <v>28</v>
      </c>
      <c r="E392" s="1">
        <v>45261</v>
      </c>
      <c r="J392">
        <v>53</v>
      </c>
      <c r="K392">
        <v>60</v>
      </c>
    </row>
    <row r="393" spans="1:11" x14ac:dyDescent="0.3">
      <c r="A393" t="s">
        <v>781</v>
      </c>
      <c r="B393" t="s">
        <v>782</v>
      </c>
      <c r="C393">
        <v>113</v>
      </c>
      <c r="D393" t="s">
        <v>15</v>
      </c>
      <c r="E393" s="1">
        <v>45471</v>
      </c>
      <c r="J393">
        <v>83</v>
      </c>
      <c r="K393">
        <v>85</v>
      </c>
    </row>
    <row r="394" spans="1:11" x14ac:dyDescent="0.3">
      <c r="A394" t="s">
        <v>1458</v>
      </c>
      <c r="B394" t="s">
        <v>1459</v>
      </c>
      <c r="C394">
        <v>95</v>
      </c>
      <c r="D394" t="s">
        <v>63</v>
      </c>
      <c r="E394" s="1">
        <v>45723</v>
      </c>
      <c r="J394">
        <v>62</v>
      </c>
      <c r="K394">
        <v>56</v>
      </c>
    </row>
    <row r="395" spans="1:11" x14ac:dyDescent="0.3">
      <c r="A395" t="s">
        <v>1412</v>
      </c>
      <c r="B395" t="s">
        <v>1413</v>
      </c>
      <c r="C395">
        <v>97</v>
      </c>
      <c r="D395" t="s">
        <v>15</v>
      </c>
      <c r="E395" s="1">
        <v>45569</v>
      </c>
      <c r="J395">
        <v>54</v>
      </c>
      <c r="K395">
        <v>59</v>
      </c>
    </row>
    <row r="396" spans="1:11" x14ac:dyDescent="0.3">
      <c r="A396" t="s">
        <v>1607</v>
      </c>
      <c r="B396" t="s">
        <v>1608</v>
      </c>
      <c r="C396">
        <v>125</v>
      </c>
      <c r="D396" t="s">
        <v>28</v>
      </c>
      <c r="E396" s="1">
        <v>45380</v>
      </c>
      <c r="J396">
        <v>47</v>
      </c>
      <c r="K396">
        <v>46</v>
      </c>
    </row>
    <row r="397" spans="1:11" x14ac:dyDescent="0.3">
      <c r="A397" t="s">
        <v>366</v>
      </c>
      <c r="B397" t="s">
        <v>367</v>
      </c>
      <c r="C397">
        <v>122</v>
      </c>
      <c r="D397" t="s">
        <v>15</v>
      </c>
      <c r="E397" s="1">
        <v>44888</v>
      </c>
      <c r="J397">
        <v>91</v>
      </c>
      <c r="K397">
        <v>95</v>
      </c>
    </row>
    <row r="398" spans="1:11" x14ac:dyDescent="0.3">
      <c r="A398" t="s">
        <v>830</v>
      </c>
      <c r="B398" t="s">
        <v>831</v>
      </c>
      <c r="C398">
        <v>93</v>
      </c>
      <c r="D398" t="s">
        <v>15</v>
      </c>
      <c r="E398" s="1">
        <v>45387</v>
      </c>
      <c r="J398">
        <v>64</v>
      </c>
      <c r="K398">
        <v>84</v>
      </c>
    </row>
    <row r="399" spans="1:11" x14ac:dyDescent="0.3">
      <c r="A399" t="s">
        <v>93</v>
      </c>
      <c r="B399" t="s">
        <v>94</v>
      </c>
      <c r="C399">
        <v>121</v>
      </c>
      <c r="D399" t="s">
        <v>28</v>
      </c>
      <c r="E399" s="1">
        <v>44841</v>
      </c>
      <c r="J399">
        <v>55</v>
      </c>
      <c r="K399">
        <v>71</v>
      </c>
    </row>
    <row r="400" spans="1:11" x14ac:dyDescent="0.3">
      <c r="A400" t="s">
        <v>1378</v>
      </c>
      <c r="B400" t="s">
        <v>1379</v>
      </c>
      <c r="C400">
        <v>116</v>
      </c>
      <c r="D400" t="s">
        <v>28</v>
      </c>
      <c r="E400" s="1">
        <v>45091</v>
      </c>
      <c r="J400">
        <v>59</v>
      </c>
      <c r="K400">
        <v>62</v>
      </c>
    </row>
    <row r="401" spans="1:11" x14ac:dyDescent="0.3">
      <c r="A401" t="s">
        <v>545</v>
      </c>
      <c r="B401" t="s">
        <v>546</v>
      </c>
      <c r="C401">
        <v>93</v>
      </c>
      <c r="D401" t="s">
        <v>28</v>
      </c>
      <c r="E401" s="1">
        <v>45366</v>
      </c>
      <c r="J401">
        <v>65</v>
      </c>
      <c r="K401">
        <v>91</v>
      </c>
    </row>
    <row r="402" spans="1:11" x14ac:dyDescent="0.3">
      <c r="A402" t="s">
        <v>1334</v>
      </c>
      <c r="B402" t="s">
        <v>1335</v>
      </c>
      <c r="C402">
        <v>97</v>
      </c>
      <c r="D402" t="s">
        <v>28</v>
      </c>
      <c r="E402" s="1">
        <v>44638</v>
      </c>
      <c r="J402">
        <v>48</v>
      </c>
      <c r="K402">
        <v>65</v>
      </c>
    </row>
    <row r="403" spans="1:11" x14ac:dyDescent="0.3">
      <c r="A403" t="s">
        <v>1352</v>
      </c>
      <c r="B403" t="s">
        <v>1353</v>
      </c>
      <c r="C403">
        <v>95</v>
      </c>
      <c r="D403" t="s">
        <v>28</v>
      </c>
      <c r="E403" s="1">
        <v>45737</v>
      </c>
      <c r="J403">
        <v>45</v>
      </c>
      <c r="K403">
        <v>63</v>
      </c>
    </row>
    <row r="404" spans="1:11" x14ac:dyDescent="0.3">
      <c r="A404" t="s">
        <v>1426</v>
      </c>
      <c r="B404" t="s">
        <v>1427</v>
      </c>
      <c r="C404">
        <v>98</v>
      </c>
      <c r="D404" t="s">
        <v>15</v>
      </c>
      <c r="E404" s="1">
        <v>44960</v>
      </c>
      <c r="J404">
        <v>52</v>
      </c>
      <c r="K404">
        <v>59</v>
      </c>
    </row>
    <row r="405" spans="1:11" x14ac:dyDescent="0.3">
      <c r="A405" t="s">
        <v>529</v>
      </c>
      <c r="B405" t="s">
        <v>530</v>
      </c>
      <c r="C405">
        <v>117</v>
      </c>
      <c r="D405" t="s">
        <v>63</v>
      </c>
      <c r="E405" s="1">
        <v>44853</v>
      </c>
      <c r="J405">
        <v>74</v>
      </c>
      <c r="K405">
        <v>92</v>
      </c>
    </row>
    <row r="406" spans="1:11" x14ac:dyDescent="0.3">
      <c r="A406" t="s">
        <v>1565</v>
      </c>
      <c r="B406" t="s">
        <v>1566</v>
      </c>
      <c r="C406">
        <v>103</v>
      </c>
      <c r="D406" t="s">
        <v>28</v>
      </c>
      <c r="E406" s="1">
        <v>45674</v>
      </c>
      <c r="J406">
        <v>50</v>
      </c>
      <c r="K406">
        <v>48</v>
      </c>
    </row>
    <row r="407" spans="1:11" x14ac:dyDescent="0.3">
      <c r="A407" t="s">
        <v>1242</v>
      </c>
      <c r="B407" t="s">
        <v>1243</v>
      </c>
      <c r="C407">
        <v>91</v>
      </c>
      <c r="D407" t="s">
        <v>28</v>
      </c>
      <c r="E407" s="1">
        <v>45394</v>
      </c>
      <c r="J407">
        <v>57</v>
      </c>
      <c r="K407">
        <v>70</v>
      </c>
    </row>
    <row r="408" spans="1:11" x14ac:dyDescent="0.3">
      <c r="A408" t="s">
        <v>1954</v>
      </c>
      <c r="B408" t="s">
        <v>1955</v>
      </c>
      <c r="C408">
        <v>92</v>
      </c>
      <c r="D408" t="s">
        <v>28</v>
      </c>
      <c r="E408" s="1">
        <v>45409</v>
      </c>
      <c r="F408">
        <v>4.8</v>
      </c>
      <c r="J408">
        <v>46</v>
      </c>
      <c r="K408">
        <v>20</v>
      </c>
    </row>
    <row r="409" spans="1:11" x14ac:dyDescent="0.3">
      <c r="A409" t="s">
        <v>1805</v>
      </c>
      <c r="B409" t="s">
        <v>1806</v>
      </c>
      <c r="C409">
        <v>93</v>
      </c>
      <c r="D409" t="s">
        <v>28</v>
      </c>
      <c r="E409" s="1">
        <v>45058</v>
      </c>
      <c r="J409">
        <v>53</v>
      </c>
      <c r="K409">
        <v>32</v>
      </c>
    </row>
    <row r="410" spans="1:11" x14ac:dyDescent="0.3">
      <c r="A410" t="s">
        <v>556</v>
      </c>
      <c r="B410" t="s">
        <v>557</v>
      </c>
      <c r="C410">
        <v>104</v>
      </c>
      <c r="D410" t="s">
        <v>28</v>
      </c>
      <c r="E410" s="1">
        <v>45181</v>
      </c>
      <c r="J410">
        <v>60</v>
      </c>
      <c r="K410">
        <v>91</v>
      </c>
    </row>
    <row r="411" spans="1:11" x14ac:dyDescent="0.3">
      <c r="A411" t="s">
        <v>1176</v>
      </c>
      <c r="B411" t="s">
        <v>1177</v>
      </c>
      <c r="C411">
        <v>89</v>
      </c>
      <c r="D411" t="s">
        <v>28</v>
      </c>
      <c r="E411" s="1">
        <v>45373</v>
      </c>
      <c r="J411">
        <v>57</v>
      </c>
      <c r="K411">
        <v>72</v>
      </c>
    </row>
    <row r="412" spans="1:11" x14ac:dyDescent="0.3">
      <c r="A412" t="s">
        <v>1916</v>
      </c>
      <c r="B412" t="s">
        <v>1917</v>
      </c>
      <c r="C412">
        <v>91</v>
      </c>
      <c r="D412" t="s">
        <v>28</v>
      </c>
      <c r="E412" s="1">
        <v>45527</v>
      </c>
      <c r="J412">
        <v>38</v>
      </c>
      <c r="K412">
        <v>24</v>
      </c>
    </row>
    <row r="413" spans="1:11" x14ac:dyDescent="0.3">
      <c r="A413" t="s">
        <v>1502</v>
      </c>
      <c r="B413" t="s">
        <v>1503</v>
      </c>
      <c r="C413">
        <v>133</v>
      </c>
      <c r="D413" t="s">
        <v>28</v>
      </c>
      <c r="E413" s="1">
        <v>45674</v>
      </c>
      <c r="J413">
        <v>53</v>
      </c>
      <c r="K413">
        <v>54</v>
      </c>
    </row>
    <row r="414" spans="1:11" x14ac:dyDescent="0.3">
      <c r="A414" t="s">
        <v>1546</v>
      </c>
      <c r="B414" t="s">
        <v>1547</v>
      </c>
      <c r="C414">
        <v>104</v>
      </c>
      <c r="D414" t="s">
        <v>15</v>
      </c>
      <c r="E414" s="1">
        <v>45359</v>
      </c>
      <c r="J414">
        <v>51</v>
      </c>
      <c r="K414">
        <v>50</v>
      </c>
    </row>
    <row r="415" spans="1:11" x14ac:dyDescent="0.3">
      <c r="A415" t="s">
        <v>890</v>
      </c>
      <c r="B415" t="s">
        <v>891</v>
      </c>
      <c r="C415">
        <v>89</v>
      </c>
      <c r="D415" t="s">
        <v>28</v>
      </c>
      <c r="E415" s="1">
        <v>45604</v>
      </c>
      <c r="J415">
        <v>66</v>
      </c>
      <c r="K415">
        <v>82</v>
      </c>
    </row>
    <row r="416" spans="1:11" x14ac:dyDescent="0.3">
      <c r="A416" t="s">
        <v>763</v>
      </c>
      <c r="B416" t="s">
        <v>764</v>
      </c>
      <c r="C416">
        <v>94</v>
      </c>
      <c r="D416" t="s">
        <v>28</v>
      </c>
      <c r="E416" s="1">
        <v>44785</v>
      </c>
      <c r="J416">
        <v>69</v>
      </c>
      <c r="K416">
        <v>86</v>
      </c>
    </row>
    <row r="417" spans="1:11" x14ac:dyDescent="0.3">
      <c r="A417" t="s">
        <v>1230</v>
      </c>
      <c r="B417" t="s">
        <v>1231</v>
      </c>
      <c r="C417">
        <v>104</v>
      </c>
      <c r="D417" t="s">
        <v>28</v>
      </c>
      <c r="E417" s="1">
        <v>44834</v>
      </c>
      <c r="J417">
        <v>62</v>
      </c>
      <c r="K417">
        <v>71</v>
      </c>
    </row>
    <row r="418" spans="1:11" x14ac:dyDescent="0.3">
      <c r="A418" t="s">
        <v>1170</v>
      </c>
      <c r="B418" t="s">
        <v>1171</v>
      </c>
      <c r="C418">
        <v>104</v>
      </c>
      <c r="D418" t="s">
        <v>28</v>
      </c>
      <c r="E418" s="1">
        <v>45723</v>
      </c>
      <c r="J418">
        <v>66</v>
      </c>
      <c r="K418">
        <v>72</v>
      </c>
    </row>
    <row r="419" spans="1:11" x14ac:dyDescent="0.3">
      <c r="A419" t="s">
        <v>1645</v>
      </c>
      <c r="B419" t="s">
        <v>1646</v>
      </c>
      <c r="C419">
        <v>100</v>
      </c>
      <c r="D419" t="s">
        <v>18</v>
      </c>
      <c r="E419" s="1">
        <v>45797</v>
      </c>
      <c r="J419">
        <v>53</v>
      </c>
      <c r="K419">
        <v>43</v>
      </c>
    </row>
    <row r="420" spans="1:11" x14ac:dyDescent="0.3">
      <c r="A420" t="s">
        <v>679</v>
      </c>
      <c r="B420" t="s">
        <v>680</v>
      </c>
      <c r="C420">
        <v>95</v>
      </c>
      <c r="D420" t="s">
        <v>28</v>
      </c>
      <c r="E420" s="1">
        <v>44897</v>
      </c>
      <c r="J420">
        <v>73</v>
      </c>
      <c r="K420">
        <v>88</v>
      </c>
    </row>
    <row r="421" spans="1:11" x14ac:dyDescent="0.3">
      <c r="A421" t="s">
        <v>525</v>
      </c>
      <c r="B421" t="s">
        <v>526</v>
      </c>
      <c r="C421">
        <v>106</v>
      </c>
      <c r="D421" t="s">
        <v>28</v>
      </c>
      <c r="E421" s="1">
        <v>45037</v>
      </c>
      <c r="J421">
        <v>61</v>
      </c>
      <c r="K421">
        <v>92</v>
      </c>
    </row>
    <row r="422" spans="1:11" x14ac:dyDescent="0.3">
      <c r="A422" t="s">
        <v>334</v>
      </c>
      <c r="B422" t="s">
        <v>335</v>
      </c>
      <c r="C422">
        <v>117</v>
      </c>
      <c r="D422" t="s">
        <v>28</v>
      </c>
      <c r="E422" s="1">
        <v>45629</v>
      </c>
      <c r="J422">
        <v>82</v>
      </c>
      <c r="K422">
        <v>95</v>
      </c>
    </row>
    <row r="423" spans="1:11" x14ac:dyDescent="0.3">
      <c r="A423" t="s">
        <v>320</v>
      </c>
      <c r="B423" t="s">
        <v>321</v>
      </c>
      <c r="C423">
        <v>95</v>
      </c>
      <c r="D423" t="s">
        <v>15</v>
      </c>
      <c r="E423" s="1">
        <v>44711</v>
      </c>
      <c r="J423">
        <v>69</v>
      </c>
      <c r="K423">
        <v>96</v>
      </c>
    </row>
    <row r="424" spans="1:11" x14ac:dyDescent="0.3">
      <c r="A424" t="s">
        <v>1876</v>
      </c>
      <c r="B424" t="s">
        <v>1877</v>
      </c>
      <c r="C424">
        <v>104</v>
      </c>
      <c r="D424" t="s">
        <v>28</v>
      </c>
      <c r="E424" s="1">
        <v>45219</v>
      </c>
      <c r="J424">
        <v>42</v>
      </c>
      <c r="K424">
        <v>27</v>
      </c>
    </row>
    <row r="425" spans="1:11" x14ac:dyDescent="0.3">
      <c r="A425" t="s">
        <v>1696</v>
      </c>
      <c r="B425" t="s">
        <v>1697</v>
      </c>
      <c r="C425">
        <v>123</v>
      </c>
      <c r="D425" t="s">
        <v>28</v>
      </c>
      <c r="E425" s="1">
        <v>45737</v>
      </c>
      <c r="J425">
        <v>46</v>
      </c>
      <c r="K425">
        <v>40</v>
      </c>
    </row>
    <row r="426" spans="1:11" x14ac:dyDescent="0.3">
      <c r="A426" t="s">
        <v>1940</v>
      </c>
      <c r="B426" t="s">
        <v>1941</v>
      </c>
      <c r="C426">
        <v>133</v>
      </c>
      <c r="D426" t="s">
        <v>15</v>
      </c>
      <c r="E426" s="1">
        <v>45281</v>
      </c>
      <c r="J426">
        <v>31</v>
      </c>
      <c r="K426">
        <v>22</v>
      </c>
    </row>
    <row r="427" spans="1:11" x14ac:dyDescent="0.3">
      <c r="A427" t="s">
        <v>1866</v>
      </c>
      <c r="B427" t="s">
        <v>1867</v>
      </c>
      <c r="C427">
        <v>112</v>
      </c>
      <c r="D427" t="s">
        <v>90</v>
      </c>
      <c r="E427" s="1">
        <v>45632</v>
      </c>
      <c r="J427">
        <v>27</v>
      </c>
      <c r="K427">
        <v>28</v>
      </c>
    </row>
    <row r="428" spans="1:11" x14ac:dyDescent="0.3">
      <c r="A428" t="s">
        <v>1569</v>
      </c>
      <c r="B428" t="s">
        <v>1570</v>
      </c>
      <c r="C428">
        <v>95</v>
      </c>
      <c r="D428" t="s">
        <v>12</v>
      </c>
      <c r="E428" s="1">
        <v>45252</v>
      </c>
      <c r="J428">
        <v>47</v>
      </c>
      <c r="K428">
        <v>48</v>
      </c>
    </row>
    <row r="429" spans="1:11" x14ac:dyDescent="0.3">
      <c r="A429" t="s">
        <v>1649</v>
      </c>
      <c r="B429" t="s">
        <v>1650</v>
      </c>
      <c r="C429">
        <v>98</v>
      </c>
      <c r="D429" t="s">
        <v>63</v>
      </c>
      <c r="E429" s="1">
        <v>45667</v>
      </c>
      <c r="J429">
        <v>40</v>
      </c>
      <c r="K429">
        <v>43</v>
      </c>
    </row>
    <row r="430" spans="1:11" x14ac:dyDescent="0.3">
      <c r="A430" t="s">
        <v>1914</v>
      </c>
      <c r="B430" t="s">
        <v>1915</v>
      </c>
      <c r="C430">
        <v>107</v>
      </c>
      <c r="D430" t="s">
        <v>15</v>
      </c>
      <c r="E430" s="1">
        <v>45621</v>
      </c>
      <c r="J430">
        <v>34</v>
      </c>
      <c r="K430">
        <v>24</v>
      </c>
    </row>
    <row r="431" spans="1:11" x14ac:dyDescent="0.3">
      <c r="A431" t="s">
        <v>88</v>
      </c>
      <c r="B431" t="s">
        <v>89</v>
      </c>
      <c r="C431">
        <v>88</v>
      </c>
      <c r="D431" t="s">
        <v>90</v>
      </c>
      <c r="E431" s="1">
        <v>45658</v>
      </c>
      <c r="J431">
        <v>56</v>
      </c>
      <c r="K431">
        <v>75</v>
      </c>
    </row>
    <row r="432" spans="1:11" x14ac:dyDescent="0.3">
      <c r="A432" t="s">
        <v>1188</v>
      </c>
      <c r="B432" t="s">
        <v>1189</v>
      </c>
      <c r="C432">
        <v>102</v>
      </c>
      <c r="D432" t="s">
        <v>12</v>
      </c>
      <c r="E432" s="1">
        <v>44888</v>
      </c>
      <c r="J432">
        <v>65</v>
      </c>
      <c r="K432">
        <v>72</v>
      </c>
    </row>
    <row r="433" spans="1:11" x14ac:dyDescent="0.3">
      <c r="A433" t="s">
        <v>671</v>
      </c>
      <c r="B433" t="s">
        <v>672</v>
      </c>
      <c r="C433">
        <v>94</v>
      </c>
      <c r="D433" t="s">
        <v>25</v>
      </c>
      <c r="E433" s="1">
        <v>45142</v>
      </c>
      <c r="J433">
        <v>62</v>
      </c>
      <c r="K433">
        <v>88</v>
      </c>
    </row>
    <row r="434" spans="1:11" x14ac:dyDescent="0.3">
      <c r="A434" t="s">
        <v>1468</v>
      </c>
      <c r="B434" t="s">
        <v>1469</v>
      </c>
      <c r="C434">
        <v>105</v>
      </c>
      <c r="D434" t="s">
        <v>15</v>
      </c>
      <c r="E434" s="1">
        <v>45506</v>
      </c>
      <c r="J434">
        <v>52</v>
      </c>
      <c r="K434">
        <v>56</v>
      </c>
    </row>
    <row r="435" spans="1:11" x14ac:dyDescent="0.3">
      <c r="A435" t="s">
        <v>759</v>
      </c>
      <c r="B435" t="s">
        <v>760</v>
      </c>
      <c r="C435">
        <v>98</v>
      </c>
      <c r="D435" t="s">
        <v>28</v>
      </c>
      <c r="E435" s="1">
        <v>44820</v>
      </c>
      <c r="J435">
        <v>64</v>
      </c>
      <c r="K435">
        <v>86</v>
      </c>
    </row>
    <row r="436" spans="1:11" x14ac:dyDescent="0.3">
      <c r="A436" t="s">
        <v>1752</v>
      </c>
      <c r="B436" t="s">
        <v>1753</v>
      </c>
      <c r="C436">
        <v>101</v>
      </c>
      <c r="D436" t="s">
        <v>90</v>
      </c>
      <c r="E436" s="1">
        <v>45623</v>
      </c>
      <c r="J436">
        <v>41</v>
      </c>
      <c r="K436">
        <v>37</v>
      </c>
    </row>
    <row r="437" spans="1:11" x14ac:dyDescent="0.3">
      <c r="A437" t="s">
        <v>236</v>
      </c>
      <c r="B437" t="s">
        <v>237</v>
      </c>
      <c r="C437">
        <v>91</v>
      </c>
      <c r="D437" t="s">
        <v>18</v>
      </c>
      <c r="E437" s="1">
        <v>45387</v>
      </c>
      <c r="J437">
        <v>79</v>
      </c>
      <c r="K437">
        <v>97</v>
      </c>
    </row>
    <row r="438" spans="1:11" x14ac:dyDescent="0.3">
      <c r="A438" t="s">
        <v>1629</v>
      </c>
      <c r="B438" t="s">
        <v>1630</v>
      </c>
      <c r="C438">
        <v>101</v>
      </c>
      <c r="D438" t="s">
        <v>28</v>
      </c>
      <c r="E438" s="1">
        <v>44953</v>
      </c>
      <c r="J438">
        <v>46</v>
      </c>
      <c r="K438">
        <v>45</v>
      </c>
    </row>
    <row r="439" spans="1:11" x14ac:dyDescent="0.3">
      <c r="A439" t="s">
        <v>777</v>
      </c>
      <c r="B439" t="s">
        <v>778</v>
      </c>
      <c r="C439">
        <v>126</v>
      </c>
      <c r="D439" t="s">
        <v>28</v>
      </c>
      <c r="E439" s="1">
        <v>45527</v>
      </c>
      <c r="J439">
        <v>60</v>
      </c>
      <c r="K439">
        <v>85</v>
      </c>
    </row>
    <row r="440" spans="1:11" x14ac:dyDescent="0.3">
      <c r="A440" t="s">
        <v>1304</v>
      </c>
      <c r="B440" t="s">
        <v>1305</v>
      </c>
      <c r="C440">
        <v>100</v>
      </c>
      <c r="D440" t="s">
        <v>28</v>
      </c>
      <c r="E440" s="1">
        <v>44960</v>
      </c>
      <c r="J440">
        <v>63</v>
      </c>
      <c r="K440">
        <v>67</v>
      </c>
    </row>
    <row r="441" spans="1:11" x14ac:dyDescent="0.3">
      <c r="A441" t="s">
        <v>1074</v>
      </c>
      <c r="B441" t="s">
        <v>1075</v>
      </c>
      <c r="C441">
        <v>96</v>
      </c>
      <c r="D441" t="s">
        <v>28</v>
      </c>
      <c r="E441" s="1">
        <v>45565</v>
      </c>
      <c r="J441">
        <v>69</v>
      </c>
      <c r="K441">
        <v>76</v>
      </c>
    </row>
    <row r="442" spans="1:11" x14ac:dyDescent="0.3">
      <c r="A442" t="s">
        <v>1758</v>
      </c>
      <c r="B442" t="s">
        <v>1759</v>
      </c>
      <c r="C442">
        <v>92</v>
      </c>
      <c r="D442" t="s">
        <v>28</v>
      </c>
      <c r="E442" s="1">
        <v>44820</v>
      </c>
      <c r="J442">
        <v>45</v>
      </c>
      <c r="K442">
        <v>37</v>
      </c>
    </row>
    <row r="443" spans="1:11" x14ac:dyDescent="0.3">
      <c r="A443" t="s">
        <v>1831</v>
      </c>
      <c r="B443" t="s">
        <v>1832</v>
      </c>
      <c r="C443">
        <v>109</v>
      </c>
      <c r="D443" t="s">
        <v>15</v>
      </c>
      <c r="E443" s="1">
        <v>44967</v>
      </c>
      <c r="J443">
        <v>49</v>
      </c>
      <c r="K443">
        <v>31</v>
      </c>
    </row>
    <row r="444" spans="1:11" x14ac:dyDescent="0.3">
      <c r="A444" t="s">
        <v>78</v>
      </c>
      <c r="B444" t="s">
        <v>79</v>
      </c>
      <c r="C444">
        <v>129</v>
      </c>
      <c r="D444" t="s">
        <v>28</v>
      </c>
      <c r="E444" s="1">
        <v>45280</v>
      </c>
      <c r="J444">
        <v>77</v>
      </c>
      <c r="K444">
        <v>78</v>
      </c>
    </row>
    <row r="445" spans="1:11" x14ac:dyDescent="0.3">
      <c r="A445" t="s">
        <v>1140</v>
      </c>
      <c r="B445" t="s">
        <v>1141</v>
      </c>
      <c r="C445">
        <v>106</v>
      </c>
      <c r="D445" t="s">
        <v>28</v>
      </c>
      <c r="E445" s="1">
        <v>44834</v>
      </c>
      <c r="J445">
        <v>69</v>
      </c>
      <c r="K445">
        <v>74</v>
      </c>
    </row>
    <row r="446" spans="1:11" x14ac:dyDescent="0.3">
      <c r="A446" t="s">
        <v>562</v>
      </c>
      <c r="B446" t="s">
        <v>563</v>
      </c>
      <c r="C446">
        <v>104</v>
      </c>
      <c r="D446" t="s">
        <v>15</v>
      </c>
      <c r="E446" s="1">
        <v>45044</v>
      </c>
      <c r="J446">
        <v>75</v>
      </c>
      <c r="K446">
        <v>91</v>
      </c>
    </row>
    <row r="447" spans="1:11" x14ac:dyDescent="0.3">
      <c r="A447" t="s">
        <v>1750</v>
      </c>
      <c r="B447" t="s">
        <v>1751</v>
      </c>
      <c r="C447">
        <v>90</v>
      </c>
      <c r="D447" t="s">
        <v>18</v>
      </c>
      <c r="E447" s="1">
        <v>44750</v>
      </c>
      <c r="J447">
        <v>40</v>
      </c>
      <c r="K447">
        <v>38</v>
      </c>
    </row>
    <row r="448" spans="1:11" x14ac:dyDescent="0.3">
      <c r="A448" t="s">
        <v>1008</v>
      </c>
      <c r="B448" t="s">
        <v>1009</v>
      </c>
      <c r="C448">
        <v>102</v>
      </c>
      <c r="D448" t="s">
        <v>28</v>
      </c>
      <c r="E448" s="1">
        <v>44826</v>
      </c>
      <c r="J448">
        <v>71</v>
      </c>
      <c r="K448">
        <v>79</v>
      </c>
    </row>
    <row r="449" spans="1:11" x14ac:dyDescent="0.3">
      <c r="A449" t="s">
        <v>1250</v>
      </c>
      <c r="B449" t="s">
        <v>1251</v>
      </c>
      <c r="C449">
        <v>110</v>
      </c>
      <c r="D449" t="s">
        <v>63</v>
      </c>
      <c r="E449" s="1">
        <v>44804</v>
      </c>
      <c r="J449">
        <v>57</v>
      </c>
      <c r="K449">
        <v>70</v>
      </c>
    </row>
    <row r="450" spans="1:11" x14ac:dyDescent="0.3">
      <c r="A450" t="s">
        <v>1014</v>
      </c>
      <c r="B450" t="s">
        <v>1015</v>
      </c>
      <c r="C450">
        <v>97</v>
      </c>
      <c r="D450" t="s">
        <v>28</v>
      </c>
      <c r="E450" s="1">
        <v>45695</v>
      </c>
      <c r="J450">
        <v>61</v>
      </c>
      <c r="K450">
        <v>78</v>
      </c>
    </row>
    <row r="451" spans="1:11" x14ac:dyDescent="0.3">
      <c r="A451" t="s">
        <v>1114</v>
      </c>
      <c r="B451" t="s">
        <v>1115</v>
      </c>
      <c r="C451">
        <v>100</v>
      </c>
      <c r="D451" t="s">
        <v>28</v>
      </c>
      <c r="E451" s="1">
        <v>45470</v>
      </c>
      <c r="J451">
        <v>62</v>
      </c>
      <c r="K451">
        <v>75</v>
      </c>
    </row>
    <row r="452" spans="1:11" x14ac:dyDescent="0.3">
      <c r="A452" t="s">
        <v>1886</v>
      </c>
      <c r="B452" t="s">
        <v>1887</v>
      </c>
      <c r="C452">
        <v>105</v>
      </c>
      <c r="D452" t="s">
        <v>12</v>
      </c>
      <c r="E452" s="1">
        <v>44812</v>
      </c>
      <c r="F452">
        <v>5.0999999999999996</v>
      </c>
      <c r="J452">
        <v>38</v>
      </c>
      <c r="K452">
        <v>27</v>
      </c>
    </row>
    <row r="453" spans="1:11" x14ac:dyDescent="0.3">
      <c r="A453" t="s">
        <v>723</v>
      </c>
      <c r="B453" t="s">
        <v>724</v>
      </c>
      <c r="C453">
        <v>116</v>
      </c>
      <c r="D453" t="s">
        <v>28</v>
      </c>
      <c r="E453" s="1">
        <v>44603</v>
      </c>
      <c r="J453">
        <v>62</v>
      </c>
      <c r="K453">
        <v>87</v>
      </c>
    </row>
    <row r="454" spans="1:11" x14ac:dyDescent="0.3">
      <c r="A454" t="s">
        <v>1318</v>
      </c>
      <c r="B454" t="s">
        <v>1319</v>
      </c>
      <c r="C454">
        <v>120</v>
      </c>
      <c r="D454" t="s">
        <v>28</v>
      </c>
      <c r="E454" s="1">
        <v>45330</v>
      </c>
      <c r="J454">
        <v>58</v>
      </c>
      <c r="K454">
        <v>66</v>
      </c>
    </row>
    <row r="455" spans="1:11" x14ac:dyDescent="0.3">
      <c r="A455" t="s">
        <v>1080</v>
      </c>
      <c r="B455" t="s">
        <v>1081</v>
      </c>
      <c r="C455">
        <v>102</v>
      </c>
      <c r="D455" t="s">
        <v>90</v>
      </c>
      <c r="E455" s="1">
        <v>45387</v>
      </c>
      <c r="J455">
        <v>63</v>
      </c>
      <c r="K455">
        <v>76</v>
      </c>
    </row>
    <row r="456" spans="1:11" x14ac:dyDescent="0.3">
      <c r="A456" t="s">
        <v>1948</v>
      </c>
      <c r="B456" t="s">
        <v>1949</v>
      </c>
      <c r="C456">
        <v>112</v>
      </c>
      <c r="D456" t="s">
        <v>15</v>
      </c>
      <c r="E456" s="1">
        <v>45058</v>
      </c>
      <c r="F456">
        <v>4.4000000000000004</v>
      </c>
      <c r="J456">
        <v>35</v>
      </c>
      <c r="K456">
        <v>21</v>
      </c>
    </row>
    <row r="457" spans="1:11" x14ac:dyDescent="0.3">
      <c r="A457" t="s">
        <v>1528</v>
      </c>
      <c r="B457" t="s">
        <v>1529</v>
      </c>
      <c r="C457">
        <v>97</v>
      </c>
      <c r="D457" t="s">
        <v>28</v>
      </c>
      <c r="E457" s="1">
        <v>45709</v>
      </c>
      <c r="F457">
        <v>4.9000000000000004</v>
      </c>
      <c r="J457">
        <v>52</v>
      </c>
      <c r="K457">
        <v>51</v>
      </c>
    </row>
    <row r="458" spans="1:11" x14ac:dyDescent="0.3">
      <c r="A458" t="s">
        <v>1472</v>
      </c>
      <c r="B458" t="s">
        <v>1473</v>
      </c>
      <c r="C458">
        <v>90</v>
      </c>
      <c r="D458" t="s">
        <v>160</v>
      </c>
      <c r="E458" s="1">
        <v>45252</v>
      </c>
      <c r="J458">
        <v>48</v>
      </c>
      <c r="K458">
        <v>56</v>
      </c>
    </row>
    <row r="459" spans="1:11" x14ac:dyDescent="0.3">
      <c r="A459" t="s">
        <v>1611</v>
      </c>
      <c r="B459" t="s">
        <v>1612</v>
      </c>
      <c r="C459">
        <v>107</v>
      </c>
      <c r="D459" t="s">
        <v>15</v>
      </c>
      <c r="E459" s="1">
        <v>45058</v>
      </c>
      <c r="J459">
        <v>46</v>
      </c>
      <c r="K459">
        <v>46</v>
      </c>
    </row>
    <row r="460" spans="1:11" x14ac:dyDescent="0.3">
      <c r="A460" t="s">
        <v>1510</v>
      </c>
      <c r="B460" t="s">
        <v>1511</v>
      </c>
      <c r="C460">
        <v>100</v>
      </c>
      <c r="D460" t="s">
        <v>15</v>
      </c>
      <c r="E460" s="1">
        <v>45163</v>
      </c>
      <c r="J460">
        <v>48</v>
      </c>
      <c r="K460">
        <v>54</v>
      </c>
    </row>
    <row r="461" spans="1:11" x14ac:dyDescent="0.3">
      <c r="A461" t="s">
        <v>1524</v>
      </c>
      <c r="B461" t="s">
        <v>1525</v>
      </c>
      <c r="C461">
        <v>101</v>
      </c>
      <c r="D461" t="s">
        <v>15</v>
      </c>
      <c r="E461" s="1">
        <v>45331</v>
      </c>
      <c r="J461">
        <v>47</v>
      </c>
      <c r="K461">
        <v>52</v>
      </c>
    </row>
    <row r="462" spans="1:11" x14ac:dyDescent="0.3">
      <c r="A462" t="s">
        <v>146</v>
      </c>
      <c r="B462" t="s">
        <v>147</v>
      </c>
      <c r="C462">
        <v>141</v>
      </c>
      <c r="D462" t="s">
        <v>15</v>
      </c>
      <c r="E462" s="1">
        <v>45534</v>
      </c>
      <c r="J462">
        <v>22</v>
      </c>
      <c r="K462">
        <v>18</v>
      </c>
    </row>
    <row r="463" spans="1:11" x14ac:dyDescent="0.3">
      <c r="A463" t="s">
        <v>1148</v>
      </c>
      <c r="B463" t="s">
        <v>1149</v>
      </c>
      <c r="C463">
        <v>118</v>
      </c>
      <c r="D463" t="s">
        <v>28</v>
      </c>
      <c r="E463" s="1">
        <v>45562</v>
      </c>
      <c r="J463">
        <v>61</v>
      </c>
      <c r="K463">
        <v>73</v>
      </c>
    </row>
    <row r="464" spans="1:11" x14ac:dyDescent="0.3">
      <c r="A464" t="s">
        <v>1142</v>
      </c>
      <c r="B464" t="s">
        <v>1143</v>
      </c>
      <c r="C464">
        <v>126</v>
      </c>
      <c r="D464" t="s">
        <v>28</v>
      </c>
      <c r="E464" s="1">
        <v>44827</v>
      </c>
      <c r="J464">
        <v>54</v>
      </c>
      <c r="K464">
        <v>74</v>
      </c>
    </row>
    <row r="465" spans="1:11" x14ac:dyDescent="0.3">
      <c r="A465" t="s">
        <v>822</v>
      </c>
      <c r="B465" t="s">
        <v>823</v>
      </c>
      <c r="C465">
        <v>123</v>
      </c>
      <c r="D465" t="s">
        <v>15</v>
      </c>
      <c r="E465" s="1">
        <v>44617</v>
      </c>
      <c r="J465">
        <v>66</v>
      </c>
      <c r="K465">
        <v>85</v>
      </c>
    </row>
    <row r="466" spans="1:11" x14ac:dyDescent="0.3">
      <c r="A466" t="s">
        <v>59</v>
      </c>
      <c r="B466" t="s">
        <v>60</v>
      </c>
      <c r="C466">
        <v>99</v>
      </c>
      <c r="D466" t="s">
        <v>18</v>
      </c>
      <c r="E466" s="1">
        <v>44819</v>
      </c>
      <c r="J466">
        <v>70</v>
      </c>
      <c r="K466">
        <v>85</v>
      </c>
    </row>
    <row r="467" spans="1:11" x14ac:dyDescent="0.3">
      <c r="A467" t="s">
        <v>1228</v>
      </c>
      <c r="B467" t="s">
        <v>1229</v>
      </c>
      <c r="C467">
        <v>92</v>
      </c>
      <c r="D467" t="s">
        <v>18</v>
      </c>
      <c r="E467" s="1">
        <v>44874</v>
      </c>
      <c r="J467">
        <v>58</v>
      </c>
      <c r="K467">
        <v>71</v>
      </c>
    </row>
    <row r="468" spans="1:11" x14ac:dyDescent="0.3">
      <c r="A468" t="s">
        <v>735</v>
      </c>
      <c r="B468" t="s">
        <v>736</v>
      </c>
      <c r="C468">
        <v>146</v>
      </c>
      <c r="D468" t="s">
        <v>25</v>
      </c>
      <c r="E468" s="1">
        <v>45501</v>
      </c>
      <c r="J468">
        <v>80</v>
      </c>
      <c r="K468">
        <v>86</v>
      </c>
    </row>
    <row r="469" spans="1:11" x14ac:dyDescent="0.3">
      <c r="A469" t="s">
        <v>912</v>
      </c>
      <c r="B469" t="s">
        <v>913</v>
      </c>
      <c r="C469">
        <v>101</v>
      </c>
      <c r="D469" t="s">
        <v>160</v>
      </c>
      <c r="E469" s="1">
        <v>45101</v>
      </c>
      <c r="J469">
        <v>80</v>
      </c>
      <c r="K469">
        <v>82</v>
      </c>
    </row>
    <row r="470" spans="1:11" x14ac:dyDescent="0.3">
      <c r="A470" t="s">
        <v>810</v>
      </c>
      <c r="B470" t="s">
        <v>811</v>
      </c>
      <c r="C470">
        <v>90</v>
      </c>
      <c r="D470" t="s">
        <v>12</v>
      </c>
      <c r="E470" s="1">
        <v>44834</v>
      </c>
      <c r="J470">
        <v>66</v>
      </c>
      <c r="K470">
        <v>85</v>
      </c>
    </row>
    <row r="471" spans="1:11" x14ac:dyDescent="0.3">
      <c r="A471" t="s">
        <v>114</v>
      </c>
      <c r="B471" t="s">
        <v>115</v>
      </c>
      <c r="C471">
        <v>114</v>
      </c>
      <c r="D471" t="s">
        <v>28</v>
      </c>
      <c r="E471" s="1">
        <v>45534</v>
      </c>
      <c r="J471">
        <v>14</v>
      </c>
      <c r="K471">
        <v>50</v>
      </c>
    </row>
    <row r="472" spans="1:11" x14ac:dyDescent="0.3">
      <c r="A472" t="s">
        <v>260</v>
      </c>
      <c r="B472" t="s">
        <v>261</v>
      </c>
      <c r="C472">
        <v>119</v>
      </c>
      <c r="D472" t="s">
        <v>28</v>
      </c>
      <c r="E472" s="1">
        <v>44883</v>
      </c>
      <c r="J472">
        <v>87</v>
      </c>
      <c r="K472">
        <v>97</v>
      </c>
    </row>
    <row r="473" spans="1:11" x14ac:dyDescent="0.3">
      <c r="A473" t="s">
        <v>1150</v>
      </c>
      <c r="B473" t="s">
        <v>1151</v>
      </c>
      <c r="C473">
        <v>103</v>
      </c>
      <c r="D473" t="s">
        <v>28</v>
      </c>
      <c r="E473" s="1">
        <v>45478</v>
      </c>
      <c r="J473">
        <v>64</v>
      </c>
      <c r="K473">
        <v>73</v>
      </c>
    </row>
    <row r="474" spans="1:11" x14ac:dyDescent="0.3">
      <c r="A474" t="s">
        <v>572</v>
      </c>
      <c r="B474" t="s">
        <v>573</v>
      </c>
      <c r="C474">
        <v>114</v>
      </c>
      <c r="D474" t="s">
        <v>18</v>
      </c>
      <c r="E474" s="1">
        <v>44834</v>
      </c>
      <c r="J474">
        <v>70</v>
      </c>
      <c r="K474">
        <v>91</v>
      </c>
    </row>
    <row r="475" spans="1:11" x14ac:dyDescent="0.3">
      <c r="A475" t="s">
        <v>637</v>
      </c>
      <c r="B475" t="s">
        <v>638</v>
      </c>
      <c r="C475">
        <v>84</v>
      </c>
      <c r="D475" t="s">
        <v>28</v>
      </c>
      <c r="E475" s="1">
        <v>45071</v>
      </c>
      <c r="J475">
        <v>51</v>
      </c>
      <c r="K475">
        <v>89</v>
      </c>
    </row>
    <row r="476" spans="1:11" x14ac:dyDescent="0.3">
      <c r="A476" t="s">
        <v>1276</v>
      </c>
      <c r="B476" t="s">
        <v>1277</v>
      </c>
      <c r="C476">
        <v>90</v>
      </c>
      <c r="D476" t="s">
        <v>15</v>
      </c>
      <c r="E476" s="1">
        <v>45121</v>
      </c>
      <c r="J476">
        <v>49</v>
      </c>
      <c r="K476">
        <v>68</v>
      </c>
    </row>
    <row r="477" spans="1:11" x14ac:dyDescent="0.3">
      <c r="A477" t="s">
        <v>747</v>
      </c>
      <c r="B477" t="s">
        <v>748</v>
      </c>
      <c r="C477">
        <v>113</v>
      </c>
      <c r="D477" t="s">
        <v>28</v>
      </c>
      <c r="E477" s="1">
        <v>45205</v>
      </c>
      <c r="J477">
        <v>73</v>
      </c>
      <c r="K477">
        <v>86</v>
      </c>
    </row>
    <row r="478" spans="1:11" x14ac:dyDescent="0.3">
      <c r="A478" t="s">
        <v>91</v>
      </c>
      <c r="B478" t="s">
        <v>92</v>
      </c>
      <c r="C478">
        <v>92</v>
      </c>
      <c r="D478" t="s">
        <v>28</v>
      </c>
      <c r="E478" s="1">
        <v>45590</v>
      </c>
      <c r="J478">
        <v>54</v>
      </c>
      <c r="K478">
        <v>75</v>
      </c>
    </row>
    <row r="479" spans="1:11" x14ac:dyDescent="0.3">
      <c r="A479" t="s">
        <v>1102</v>
      </c>
      <c r="B479" t="s">
        <v>1103</v>
      </c>
      <c r="C479">
        <v>99</v>
      </c>
      <c r="D479" t="s">
        <v>90</v>
      </c>
      <c r="E479" s="1">
        <v>45701</v>
      </c>
      <c r="J479">
        <v>44</v>
      </c>
      <c r="K479">
        <v>75</v>
      </c>
    </row>
    <row r="480" spans="1:11" x14ac:dyDescent="0.3">
      <c r="A480" t="s">
        <v>1591</v>
      </c>
      <c r="B480" t="s">
        <v>1592</v>
      </c>
      <c r="C480">
        <v>167</v>
      </c>
      <c r="D480" t="s">
        <v>18</v>
      </c>
      <c r="E480" s="1">
        <v>44813</v>
      </c>
      <c r="J480">
        <v>57</v>
      </c>
      <c r="K480">
        <v>47</v>
      </c>
    </row>
    <row r="481" spans="1:11" x14ac:dyDescent="0.3">
      <c r="A481" t="s">
        <v>398</v>
      </c>
      <c r="B481" t="s">
        <v>399</v>
      </c>
      <c r="C481">
        <v>93</v>
      </c>
      <c r="D481" t="s">
        <v>28</v>
      </c>
      <c r="E481" s="1">
        <v>45317</v>
      </c>
      <c r="J481">
        <v>80</v>
      </c>
      <c r="K481">
        <v>94</v>
      </c>
    </row>
    <row r="482" spans="1:11" x14ac:dyDescent="0.3">
      <c r="A482" t="s">
        <v>136</v>
      </c>
      <c r="B482" t="s">
        <v>137</v>
      </c>
      <c r="C482">
        <v>93</v>
      </c>
      <c r="D482" t="s">
        <v>28</v>
      </c>
      <c r="E482" s="1">
        <v>45317</v>
      </c>
      <c r="F482">
        <v>5.2</v>
      </c>
      <c r="J482">
        <v>41</v>
      </c>
      <c r="K482">
        <v>30</v>
      </c>
    </row>
    <row r="483" spans="1:11" x14ac:dyDescent="0.3">
      <c r="A483" t="s">
        <v>376</v>
      </c>
      <c r="B483" t="s">
        <v>377</v>
      </c>
      <c r="C483">
        <v>103</v>
      </c>
      <c r="D483" t="s">
        <v>28</v>
      </c>
      <c r="E483" s="1">
        <v>45716</v>
      </c>
      <c r="J483">
        <v>75</v>
      </c>
      <c r="K483">
        <v>94</v>
      </c>
    </row>
    <row r="484" spans="1:11" x14ac:dyDescent="0.3">
      <c r="A484" t="s">
        <v>1134</v>
      </c>
      <c r="B484" t="s">
        <v>1135</v>
      </c>
      <c r="C484">
        <v>103</v>
      </c>
      <c r="D484" t="s">
        <v>15</v>
      </c>
      <c r="E484" s="1">
        <v>45436</v>
      </c>
      <c r="J484">
        <v>42</v>
      </c>
      <c r="K484">
        <v>74</v>
      </c>
    </row>
    <row r="485" spans="1:11" x14ac:dyDescent="0.3">
      <c r="A485" t="s">
        <v>944</v>
      </c>
      <c r="B485" t="s">
        <v>945</v>
      </c>
      <c r="C485">
        <v>86</v>
      </c>
      <c r="D485" t="s">
        <v>28</v>
      </c>
      <c r="E485" s="1">
        <v>45449</v>
      </c>
      <c r="J485">
        <v>72</v>
      </c>
      <c r="K485">
        <v>81</v>
      </c>
    </row>
    <row r="486" spans="1:11" x14ac:dyDescent="0.3">
      <c r="A486" t="s">
        <v>1432</v>
      </c>
      <c r="B486" t="s">
        <v>1433</v>
      </c>
      <c r="C486">
        <v>121</v>
      </c>
      <c r="D486" t="s">
        <v>28</v>
      </c>
      <c r="E486" s="1">
        <v>45457</v>
      </c>
      <c r="J486">
        <v>54</v>
      </c>
      <c r="K486">
        <v>58</v>
      </c>
    </row>
    <row r="487" spans="1:11" x14ac:dyDescent="0.3">
      <c r="A487" t="s">
        <v>1898</v>
      </c>
      <c r="B487" t="s">
        <v>1899</v>
      </c>
      <c r="C487">
        <v>101</v>
      </c>
      <c r="D487" t="s">
        <v>28</v>
      </c>
      <c r="E487" s="1">
        <v>45065</v>
      </c>
      <c r="J487">
        <v>40</v>
      </c>
      <c r="K487">
        <v>26</v>
      </c>
    </row>
    <row r="488" spans="1:11" x14ac:dyDescent="0.3">
      <c r="A488" t="s">
        <v>272</v>
      </c>
      <c r="B488" t="s">
        <v>273</v>
      </c>
      <c r="C488">
        <v>93</v>
      </c>
      <c r="D488" t="s">
        <v>28</v>
      </c>
      <c r="E488" s="1">
        <v>45730</v>
      </c>
      <c r="J488">
        <v>85</v>
      </c>
      <c r="K488">
        <v>96</v>
      </c>
    </row>
    <row r="489" spans="1:11" x14ac:dyDescent="0.3">
      <c r="A489" t="s">
        <v>1912</v>
      </c>
      <c r="B489" t="s">
        <v>1913</v>
      </c>
      <c r="C489">
        <v>101</v>
      </c>
      <c r="D489" t="s">
        <v>28</v>
      </c>
      <c r="E489" s="1">
        <v>45723</v>
      </c>
      <c r="F489">
        <v>5</v>
      </c>
      <c r="J489">
        <v>41</v>
      </c>
      <c r="K489">
        <v>24</v>
      </c>
    </row>
    <row r="490" spans="1:11" x14ac:dyDescent="0.3">
      <c r="A490" t="s">
        <v>1128</v>
      </c>
      <c r="B490" t="s">
        <v>1129</v>
      </c>
      <c r="C490">
        <v>98</v>
      </c>
      <c r="D490" t="s">
        <v>15</v>
      </c>
      <c r="E490" s="1">
        <v>44820</v>
      </c>
      <c r="J490">
        <v>60</v>
      </c>
      <c r="K490">
        <v>75</v>
      </c>
    </row>
    <row r="491" spans="1:11" x14ac:dyDescent="0.3">
      <c r="A491" t="s">
        <v>1791</v>
      </c>
      <c r="B491" t="s">
        <v>1792</v>
      </c>
      <c r="C491">
        <v>102</v>
      </c>
      <c r="D491" t="s">
        <v>15</v>
      </c>
      <c r="E491" s="1">
        <v>45450</v>
      </c>
      <c r="J491">
        <v>46</v>
      </c>
      <c r="K491">
        <v>33</v>
      </c>
    </row>
    <row r="492" spans="1:11" x14ac:dyDescent="0.3">
      <c r="A492" t="s">
        <v>402</v>
      </c>
      <c r="B492" t="s">
        <v>403</v>
      </c>
      <c r="C492">
        <v>91</v>
      </c>
      <c r="D492" t="s">
        <v>25</v>
      </c>
      <c r="E492" s="1">
        <v>45205</v>
      </c>
      <c r="J492">
        <v>80</v>
      </c>
      <c r="K492">
        <v>94</v>
      </c>
    </row>
    <row r="493" spans="1:11" x14ac:dyDescent="0.3">
      <c r="A493" t="s">
        <v>124</v>
      </c>
      <c r="B493" t="s">
        <v>125</v>
      </c>
      <c r="C493">
        <v>103</v>
      </c>
      <c r="D493" t="s">
        <v>28</v>
      </c>
      <c r="E493" s="1">
        <v>44652</v>
      </c>
      <c r="J493">
        <v>52</v>
      </c>
      <c r="K493">
        <v>45</v>
      </c>
    </row>
    <row r="494" spans="1:11" x14ac:dyDescent="0.3">
      <c r="A494" t="s">
        <v>1972</v>
      </c>
      <c r="B494" t="s">
        <v>1973</v>
      </c>
      <c r="C494">
        <v>92</v>
      </c>
      <c r="D494" t="s">
        <v>15</v>
      </c>
      <c r="E494" s="1">
        <v>45415</v>
      </c>
      <c r="F494">
        <v>4.8</v>
      </c>
      <c r="J494">
        <v>36</v>
      </c>
      <c r="K494">
        <v>17</v>
      </c>
    </row>
    <row r="495" spans="1:11" x14ac:dyDescent="0.3">
      <c r="A495" t="s">
        <v>1708</v>
      </c>
      <c r="B495" t="s">
        <v>1709</v>
      </c>
      <c r="C495">
        <v>109</v>
      </c>
      <c r="D495" t="s">
        <v>28</v>
      </c>
      <c r="E495" s="1">
        <v>45233</v>
      </c>
      <c r="J495">
        <v>47</v>
      </c>
      <c r="K495">
        <v>40</v>
      </c>
    </row>
    <row r="496" spans="1:11" x14ac:dyDescent="0.3">
      <c r="A496" t="s">
        <v>1613</v>
      </c>
      <c r="B496" t="s">
        <v>1614</v>
      </c>
      <c r="C496">
        <v>90</v>
      </c>
      <c r="D496" t="s">
        <v>15</v>
      </c>
      <c r="E496" s="1">
        <v>45016</v>
      </c>
      <c r="J496">
        <v>44</v>
      </c>
      <c r="K496">
        <v>46</v>
      </c>
    </row>
    <row r="497" spans="1:11" x14ac:dyDescent="0.3">
      <c r="A497" t="s">
        <v>1803</v>
      </c>
      <c r="B497" t="s">
        <v>1804</v>
      </c>
      <c r="C497">
        <v>106</v>
      </c>
      <c r="D497" t="s">
        <v>28</v>
      </c>
      <c r="E497" s="1">
        <v>45519</v>
      </c>
      <c r="J497">
        <v>41</v>
      </c>
      <c r="K497">
        <v>32</v>
      </c>
    </row>
    <row r="498" spans="1:11" x14ac:dyDescent="0.3">
      <c r="A498" t="s">
        <v>1928</v>
      </c>
      <c r="B498" t="s">
        <v>1929</v>
      </c>
      <c r="C498">
        <v>110</v>
      </c>
      <c r="D498" t="s">
        <v>15</v>
      </c>
      <c r="E498" s="1">
        <v>44736</v>
      </c>
      <c r="J498">
        <v>34</v>
      </c>
      <c r="K498">
        <v>24</v>
      </c>
    </row>
    <row r="499" spans="1:11" x14ac:dyDescent="0.3">
      <c r="A499" t="s">
        <v>1406</v>
      </c>
      <c r="B499" t="s">
        <v>1407</v>
      </c>
      <c r="C499">
        <v>98</v>
      </c>
      <c r="D499" t="s">
        <v>15</v>
      </c>
      <c r="E499" s="1">
        <v>45079</v>
      </c>
      <c r="J499">
        <v>55</v>
      </c>
      <c r="K499">
        <v>60</v>
      </c>
    </row>
    <row r="500" spans="1:11" x14ac:dyDescent="0.3">
      <c r="A500" t="s">
        <v>374</v>
      </c>
      <c r="B500" t="s">
        <v>375</v>
      </c>
      <c r="C500">
        <v>104</v>
      </c>
      <c r="D500" t="s">
        <v>25</v>
      </c>
      <c r="E500" s="1">
        <v>45737</v>
      </c>
      <c r="J500">
        <v>80</v>
      </c>
      <c r="K500">
        <v>94</v>
      </c>
    </row>
    <row r="501" spans="1:11" x14ac:dyDescent="0.3">
      <c r="A501" t="s">
        <v>1583</v>
      </c>
      <c r="B501" t="s">
        <v>1584</v>
      </c>
      <c r="C501">
        <v>106</v>
      </c>
      <c r="D501" t="s">
        <v>12</v>
      </c>
      <c r="E501" s="1">
        <v>45260</v>
      </c>
      <c r="J501">
        <v>37</v>
      </c>
      <c r="K501">
        <v>47</v>
      </c>
    </row>
    <row r="502" spans="1:11" x14ac:dyDescent="0.3">
      <c r="A502" t="s">
        <v>360</v>
      </c>
      <c r="B502" t="s">
        <v>361</v>
      </c>
      <c r="C502">
        <v>104</v>
      </c>
      <c r="D502" t="s">
        <v>28</v>
      </c>
      <c r="E502" s="1">
        <v>45023</v>
      </c>
      <c r="J502">
        <v>76</v>
      </c>
      <c r="K502">
        <v>95</v>
      </c>
    </row>
    <row r="503" spans="1:11" x14ac:dyDescent="0.3">
      <c r="A503" t="s">
        <v>1589</v>
      </c>
      <c r="B503" t="s">
        <v>1590</v>
      </c>
      <c r="C503">
        <v>104</v>
      </c>
      <c r="D503" t="s">
        <v>15</v>
      </c>
      <c r="E503" s="1">
        <v>44839</v>
      </c>
      <c r="J503">
        <v>55</v>
      </c>
      <c r="K503">
        <v>47</v>
      </c>
    </row>
    <row r="504" spans="1:11" x14ac:dyDescent="0.3">
      <c r="A504" t="s">
        <v>1764</v>
      </c>
      <c r="B504" t="s">
        <v>1765</v>
      </c>
      <c r="C504">
        <v>107</v>
      </c>
      <c r="D504" t="s">
        <v>12</v>
      </c>
      <c r="E504" s="1">
        <v>44638</v>
      </c>
      <c r="F504">
        <v>4.5999999999999996</v>
      </c>
      <c r="J504">
        <v>42</v>
      </c>
      <c r="K504">
        <v>36</v>
      </c>
    </row>
    <row r="505" spans="1:11" x14ac:dyDescent="0.3">
      <c r="A505" t="s">
        <v>1573</v>
      </c>
      <c r="B505" t="s">
        <v>1574</v>
      </c>
      <c r="C505">
        <v>112</v>
      </c>
      <c r="D505" t="s">
        <v>28</v>
      </c>
      <c r="E505" s="1">
        <v>44967</v>
      </c>
      <c r="F505">
        <v>5.2</v>
      </c>
      <c r="J505">
        <v>52</v>
      </c>
      <c r="K505">
        <v>48</v>
      </c>
    </row>
    <row r="506" spans="1:11" x14ac:dyDescent="0.3">
      <c r="A506" t="s">
        <v>2002</v>
      </c>
      <c r="B506" t="s">
        <v>2003</v>
      </c>
      <c r="C506">
        <v>108</v>
      </c>
      <c r="D506" t="s">
        <v>28</v>
      </c>
      <c r="E506" s="1">
        <v>45226</v>
      </c>
      <c r="J506">
        <v>26</v>
      </c>
      <c r="K506">
        <v>10</v>
      </c>
    </row>
    <row r="507" spans="1:11" x14ac:dyDescent="0.3">
      <c r="A507" t="s">
        <v>1956</v>
      </c>
      <c r="B507" t="s">
        <v>1957</v>
      </c>
      <c r="C507">
        <v>141</v>
      </c>
      <c r="D507" t="s">
        <v>28</v>
      </c>
      <c r="E507" s="1">
        <v>44918</v>
      </c>
      <c r="J507">
        <v>41</v>
      </c>
      <c r="K507">
        <v>20</v>
      </c>
    </row>
    <row r="508" spans="1:11" x14ac:dyDescent="0.3">
      <c r="A508" t="s">
        <v>990</v>
      </c>
      <c r="B508" t="s">
        <v>991</v>
      </c>
      <c r="C508">
        <v>117</v>
      </c>
      <c r="D508" t="s">
        <v>15</v>
      </c>
      <c r="E508" s="1">
        <v>44728</v>
      </c>
      <c r="J508">
        <v>65</v>
      </c>
      <c r="K508">
        <v>80</v>
      </c>
    </row>
    <row r="509" spans="1:11" x14ac:dyDescent="0.3">
      <c r="A509" t="s">
        <v>1400</v>
      </c>
      <c r="B509" t="s">
        <v>1401</v>
      </c>
      <c r="C509">
        <v>112</v>
      </c>
      <c r="D509" t="s">
        <v>28</v>
      </c>
      <c r="E509" s="1">
        <v>45527</v>
      </c>
      <c r="J509">
        <v>45</v>
      </c>
      <c r="K509">
        <v>60</v>
      </c>
    </row>
    <row r="510" spans="1:11" x14ac:dyDescent="0.3">
      <c r="A510" t="s">
        <v>761</v>
      </c>
      <c r="B510" t="s">
        <v>762</v>
      </c>
      <c r="C510">
        <v>118</v>
      </c>
      <c r="D510" t="s">
        <v>63</v>
      </c>
      <c r="E510" s="1">
        <v>44820</v>
      </c>
      <c r="J510">
        <v>66</v>
      </c>
      <c r="K510">
        <v>86</v>
      </c>
    </row>
    <row r="511" spans="1:11" x14ac:dyDescent="0.3">
      <c r="A511" t="s">
        <v>1154</v>
      </c>
      <c r="B511" t="s">
        <v>1155</v>
      </c>
      <c r="C511">
        <v>130</v>
      </c>
      <c r="D511" t="s">
        <v>28</v>
      </c>
      <c r="E511" s="1">
        <v>45285</v>
      </c>
      <c r="J511">
        <v>73</v>
      </c>
      <c r="K511">
        <v>73</v>
      </c>
    </row>
    <row r="512" spans="1:11" x14ac:dyDescent="0.3">
      <c r="A512" t="s">
        <v>1056</v>
      </c>
      <c r="B512" t="s">
        <v>1057</v>
      </c>
      <c r="C512">
        <v>114</v>
      </c>
      <c r="D512" t="s">
        <v>28</v>
      </c>
      <c r="E512" s="1">
        <v>44869</v>
      </c>
      <c r="J512">
        <v>74</v>
      </c>
      <c r="K512">
        <v>77</v>
      </c>
    </row>
    <row r="513" spans="1:11" x14ac:dyDescent="0.3">
      <c r="A513" t="s">
        <v>1092</v>
      </c>
      <c r="B513" t="s">
        <v>1093</v>
      </c>
      <c r="C513">
        <v>108</v>
      </c>
      <c r="D513" t="s">
        <v>15</v>
      </c>
      <c r="E513" s="1">
        <v>45022</v>
      </c>
      <c r="J513">
        <v>67</v>
      </c>
      <c r="K513">
        <v>76</v>
      </c>
    </row>
    <row r="514" spans="1:11" x14ac:dyDescent="0.3">
      <c r="A514" t="s">
        <v>1006</v>
      </c>
      <c r="B514" t="s">
        <v>1007</v>
      </c>
      <c r="C514">
        <v>104</v>
      </c>
      <c r="D514" t="s">
        <v>15</v>
      </c>
      <c r="E514" s="1">
        <v>45205</v>
      </c>
      <c r="J514">
        <v>74</v>
      </c>
      <c r="K514">
        <v>79</v>
      </c>
    </row>
    <row r="515" spans="1:11" x14ac:dyDescent="0.3">
      <c r="A515" t="s">
        <v>517</v>
      </c>
      <c r="B515" t="s">
        <v>518</v>
      </c>
      <c r="C515">
        <v>117</v>
      </c>
      <c r="D515" t="s">
        <v>28</v>
      </c>
      <c r="E515" s="1">
        <v>45118</v>
      </c>
      <c r="J515">
        <v>78</v>
      </c>
      <c r="K515">
        <v>92</v>
      </c>
    </row>
    <row r="516" spans="1:11" x14ac:dyDescent="0.3">
      <c r="A516" t="s">
        <v>1070</v>
      </c>
      <c r="B516" t="s">
        <v>1071</v>
      </c>
      <c r="C516">
        <v>110</v>
      </c>
      <c r="D516" t="s">
        <v>25</v>
      </c>
      <c r="E516" s="1">
        <v>45590</v>
      </c>
      <c r="J516">
        <v>53</v>
      </c>
      <c r="K516">
        <v>76</v>
      </c>
    </row>
    <row r="517" spans="1:11" x14ac:dyDescent="0.3">
      <c r="A517" t="s">
        <v>743</v>
      </c>
      <c r="B517" t="s">
        <v>744</v>
      </c>
      <c r="C517">
        <v>189</v>
      </c>
      <c r="D517" t="s">
        <v>25</v>
      </c>
      <c r="E517" s="1">
        <v>45275</v>
      </c>
      <c r="J517">
        <v>85</v>
      </c>
      <c r="K517">
        <v>86</v>
      </c>
    </row>
    <row r="518" spans="1:11" x14ac:dyDescent="0.3">
      <c r="A518" t="s">
        <v>274</v>
      </c>
      <c r="B518" t="s">
        <v>275</v>
      </c>
      <c r="C518">
        <v>87</v>
      </c>
      <c r="D518" t="s">
        <v>28</v>
      </c>
      <c r="E518" s="1">
        <v>45722</v>
      </c>
      <c r="J518">
        <v>73</v>
      </c>
      <c r="K518">
        <v>96</v>
      </c>
    </row>
    <row r="519" spans="1:11" x14ac:dyDescent="0.3">
      <c r="A519" t="s">
        <v>906</v>
      </c>
      <c r="B519" t="s">
        <v>907</v>
      </c>
      <c r="C519">
        <v>141</v>
      </c>
      <c r="D519" t="s">
        <v>15</v>
      </c>
      <c r="E519" s="1">
        <v>45310</v>
      </c>
      <c r="J519">
        <v>75</v>
      </c>
      <c r="K519">
        <v>82</v>
      </c>
    </row>
    <row r="520" spans="1:11" x14ac:dyDescent="0.3">
      <c r="A520" t="s">
        <v>1522</v>
      </c>
      <c r="B520" t="s">
        <v>1523</v>
      </c>
      <c r="C520">
        <v>107</v>
      </c>
      <c r="D520" t="s">
        <v>28</v>
      </c>
      <c r="E520" s="1">
        <v>45744</v>
      </c>
      <c r="J520">
        <v>55</v>
      </c>
      <c r="K520">
        <v>52</v>
      </c>
    </row>
    <row r="521" spans="1:11" x14ac:dyDescent="0.3">
      <c r="A521" t="s">
        <v>539</v>
      </c>
      <c r="B521" t="s">
        <v>540</v>
      </c>
      <c r="C521">
        <v>95</v>
      </c>
      <c r="D521" t="s">
        <v>28</v>
      </c>
      <c r="E521" s="1">
        <v>45583</v>
      </c>
      <c r="J521">
        <v>74</v>
      </c>
      <c r="K521">
        <v>91</v>
      </c>
    </row>
    <row r="522" spans="1:11" x14ac:dyDescent="0.3">
      <c r="A522" t="s">
        <v>1605</v>
      </c>
      <c r="B522" t="s">
        <v>1606</v>
      </c>
      <c r="C522">
        <v>104</v>
      </c>
      <c r="D522" t="s">
        <v>28</v>
      </c>
      <c r="E522" s="1">
        <v>45548</v>
      </c>
      <c r="J522">
        <v>36</v>
      </c>
      <c r="K522">
        <v>46</v>
      </c>
    </row>
    <row r="523" spans="1:11" x14ac:dyDescent="0.3">
      <c r="A523" t="s">
        <v>976</v>
      </c>
      <c r="B523" t="s">
        <v>977</v>
      </c>
      <c r="C523">
        <v>108</v>
      </c>
      <c r="D523" t="s">
        <v>28</v>
      </c>
      <c r="E523" s="1">
        <v>45541</v>
      </c>
      <c r="J523">
        <v>55</v>
      </c>
      <c r="K523">
        <v>80</v>
      </c>
    </row>
    <row r="524" spans="1:11" x14ac:dyDescent="0.3">
      <c r="A524" t="s">
        <v>651</v>
      </c>
      <c r="B524" t="s">
        <v>652</v>
      </c>
      <c r="C524">
        <v>96</v>
      </c>
      <c r="D524" t="s">
        <v>12</v>
      </c>
      <c r="E524" s="1">
        <v>44624</v>
      </c>
      <c r="J524">
        <v>78</v>
      </c>
      <c r="K524">
        <v>89</v>
      </c>
    </row>
    <row r="525" spans="1:11" x14ac:dyDescent="0.3">
      <c r="A525" t="s">
        <v>653</v>
      </c>
      <c r="B525" t="s">
        <v>654</v>
      </c>
      <c r="C525">
        <v>124</v>
      </c>
      <c r="D525" t="s">
        <v>28</v>
      </c>
      <c r="E525" s="1">
        <v>45701</v>
      </c>
      <c r="J525">
        <v>72</v>
      </c>
      <c r="K525">
        <v>88</v>
      </c>
    </row>
    <row r="526" spans="1:11" x14ac:dyDescent="0.3">
      <c r="A526" t="s">
        <v>854</v>
      </c>
      <c r="B526" t="s">
        <v>855</v>
      </c>
      <c r="C526">
        <v>88</v>
      </c>
      <c r="D526" t="s">
        <v>28</v>
      </c>
      <c r="E526" s="1">
        <v>45667</v>
      </c>
      <c r="J526">
        <v>66</v>
      </c>
      <c r="K526">
        <v>83</v>
      </c>
    </row>
    <row r="527" spans="1:11" x14ac:dyDescent="0.3">
      <c r="A527" t="s">
        <v>66</v>
      </c>
      <c r="B527" t="s">
        <v>67</v>
      </c>
      <c r="C527">
        <v>92</v>
      </c>
      <c r="D527" t="s">
        <v>28</v>
      </c>
      <c r="E527" s="1">
        <v>44869</v>
      </c>
      <c r="J527">
        <v>82</v>
      </c>
      <c r="K527">
        <v>84</v>
      </c>
    </row>
    <row r="528" spans="1:11" x14ac:dyDescent="0.3">
      <c r="A528" t="s">
        <v>1488</v>
      </c>
      <c r="B528" t="s">
        <v>1489</v>
      </c>
      <c r="C528">
        <v>91</v>
      </c>
      <c r="D528" t="s">
        <v>28</v>
      </c>
      <c r="E528" s="1">
        <v>45622</v>
      </c>
      <c r="J528">
        <v>50</v>
      </c>
      <c r="K528">
        <v>55</v>
      </c>
    </row>
    <row r="529" spans="1:11" x14ac:dyDescent="0.3">
      <c r="A529" t="s">
        <v>578</v>
      </c>
      <c r="B529" t="s">
        <v>579</v>
      </c>
      <c r="C529">
        <v>88</v>
      </c>
      <c r="D529" t="s">
        <v>28</v>
      </c>
      <c r="E529" s="1">
        <v>44652</v>
      </c>
      <c r="J529">
        <v>72</v>
      </c>
      <c r="K529">
        <v>91</v>
      </c>
    </row>
    <row r="530" spans="1:11" x14ac:dyDescent="0.3">
      <c r="A530" t="s">
        <v>1042</v>
      </c>
      <c r="B530" t="s">
        <v>1043</v>
      </c>
      <c r="C530">
        <v>180</v>
      </c>
      <c r="D530" t="s">
        <v>18</v>
      </c>
      <c r="E530" s="1">
        <v>45470</v>
      </c>
      <c r="J530">
        <v>65</v>
      </c>
      <c r="K530">
        <v>77</v>
      </c>
    </row>
    <row r="531" spans="1:11" x14ac:dyDescent="0.3">
      <c r="A531" t="s">
        <v>1609</v>
      </c>
      <c r="B531" t="s">
        <v>1610</v>
      </c>
      <c r="C531">
        <v>104</v>
      </c>
      <c r="D531" t="s">
        <v>15</v>
      </c>
      <c r="E531" s="1">
        <v>45247</v>
      </c>
      <c r="J531">
        <v>44</v>
      </c>
      <c r="K531">
        <v>46</v>
      </c>
    </row>
    <row r="532" spans="1:11" x14ac:dyDescent="0.3">
      <c r="A532" t="s">
        <v>558</v>
      </c>
      <c r="B532" t="s">
        <v>559</v>
      </c>
      <c r="C532">
        <v>103</v>
      </c>
      <c r="D532" t="s">
        <v>15</v>
      </c>
      <c r="E532" s="1">
        <v>45163</v>
      </c>
      <c r="J532">
        <v>71</v>
      </c>
      <c r="K532">
        <v>91</v>
      </c>
    </row>
    <row r="533" spans="1:11" x14ac:dyDescent="0.3">
      <c r="A533" t="s">
        <v>1476</v>
      </c>
      <c r="B533" t="s">
        <v>1477</v>
      </c>
      <c r="C533">
        <v>104</v>
      </c>
      <c r="D533" t="s">
        <v>15</v>
      </c>
      <c r="E533" s="1">
        <v>44855</v>
      </c>
      <c r="J533">
        <v>50</v>
      </c>
      <c r="K533">
        <v>56</v>
      </c>
    </row>
    <row r="534" spans="1:11" x14ac:dyDescent="0.3">
      <c r="A534" t="s">
        <v>406</v>
      </c>
      <c r="B534" t="s">
        <v>407</v>
      </c>
      <c r="C534">
        <v>83</v>
      </c>
      <c r="D534" t="s">
        <v>63</v>
      </c>
      <c r="E534" s="1">
        <v>45075</v>
      </c>
      <c r="J534">
        <v>84</v>
      </c>
      <c r="K534">
        <v>94</v>
      </c>
    </row>
    <row r="535" spans="1:11" x14ac:dyDescent="0.3">
      <c r="A535" t="s">
        <v>468</v>
      </c>
      <c r="B535" t="s">
        <v>469</v>
      </c>
      <c r="C535">
        <v>123</v>
      </c>
      <c r="D535" t="s">
        <v>28</v>
      </c>
      <c r="E535" s="1">
        <v>45191</v>
      </c>
      <c r="J535">
        <v>68</v>
      </c>
      <c r="K535">
        <v>93</v>
      </c>
    </row>
    <row r="536" spans="1:11" x14ac:dyDescent="0.3">
      <c r="A536" t="s">
        <v>480</v>
      </c>
      <c r="B536" t="s">
        <v>481</v>
      </c>
      <c r="C536">
        <v>112</v>
      </c>
      <c r="D536" t="s">
        <v>28</v>
      </c>
      <c r="E536" s="1">
        <v>44839</v>
      </c>
      <c r="J536">
        <v>86</v>
      </c>
      <c r="K536">
        <v>93</v>
      </c>
    </row>
    <row r="537" spans="1:11" x14ac:dyDescent="0.3">
      <c r="A537" t="s">
        <v>1742</v>
      </c>
      <c r="B537" t="s">
        <v>1743</v>
      </c>
      <c r="C537">
        <v>123</v>
      </c>
      <c r="D537" t="s">
        <v>15</v>
      </c>
      <c r="E537" s="1">
        <v>45135</v>
      </c>
      <c r="J537">
        <v>47</v>
      </c>
      <c r="K537">
        <v>38</v>
      </c>
    </row>
    <row r="538" spans="1:11" x14ac:dyDescent="0.3">
      <c r="A538" t="s">
        <v>1978</v>
      </c>
      <c r="B538" t="s">
        <v>1979</v>
      </c>
      <c r="C538">
        <v>127</v>
      </c>
      <c r="D538" t="s">
        <v>28</v>
      </c>
      <c r="E538" s="1">
        <v>45639</v>
      </c>
      <c r="J538">
        <v>35</v>
      </c>
      <c r="K538">
        <v>15</v>
      </c>
    </row>
    <row r="539" spans="1:11" x14ac:dyDescent="0.3">
      <c r="A539" t="s">
        <v>1821</v>
      </c>
      <c r="B539" t="s">
        <v>1822</v>
      </c>
      <c r="C539">
        <v>107</v>
      </c>
      <c r="D539" t="s">
        <v>15</v>
      </c>
      <c r="E539" s="1">
        <v>45303</v>
      </c>
      <c r="J539">
        <v>40</v>
      </c>
      <c r="K539">
        <v>31</v>
      </c>
    </row>
    <row r="540" spans="1:11" x14ac:dyDescent="0.3">
      <c r="A540" t="s">
        <v>1120</v>
      </c>
      <c r="B540" t="s">
        <v>1121</v>
      </c>
      <c r="C540">
        <v>88</v>
      </c>
      <c r="D540" t="s">
        <v>28</v>
      </c>
      <c r="E540" s="1">
        <v>45219</v>
      </c>
      <c r="J540">
        <v>50</v>
      </c>
      <c r="K540">
        <v>75</v>
      </c>
    </row>
    <row r="541" spans="1:11" x14ac:dyDescent="0.3">
      <c r="A541" t="s">
        <v>1839</v>
      </c>
      <c r="B541" t="s">
        <v>1840</v>
      </c>
      <c r="C541">
        <v>114</v>
      </c>
      <c r="D541" t="s">
        <v>15</v>
      </c>
      <c r="E541" s="1">
        <v>45674</v>
      </c>
      <c r="J541">
        <v>46</v>
      </c>
      <c r="K541">
        <v>30</v>
      </c>
    </row>
    <row r="542" spans="1:11" x14ac:dyDescent="0.3">
      <c r="A542" t="s">
        <v>1064</v>
      </c>
      <c r="B542" t="s">
        <v>1065</v>
      </c>
      <c r="C542">
        <v>124</v>
      </c>
      <c r="D542" t="s">
        <v>28</v>
      </c>
      <c r="E542" s="1">
        <v>45637</v>
      </c>
      <c r="J542">
        <v>63</v>
      </c>
      <c r="K542">
        <v>76</v>
      </c>
    </row>
    <row r="543" spans="1:11" x14ac:dyDescent="0.3">
      <c r="A543" t="s">
        <v>892</v>
      </c>
      <c r="B543" t="s">
        <v>893</v>
      </c>
      <c r="C543">
        <v>110</v>
      </c>
      <c r="D543" t="s">
        <v>28</v>
      </c>
      <c r="E543" s="1">
        <v>45582</v>
      </c>
      <c r="J543">
        <v>62</v>
      </c>
      <c r="K543">
        <v>82</v>
      </c>
    </row>
    <row r="544" spans="1:11" x14ac:dyDescent="0.3">
      <c r="A544" t="s">
        <v>1090</v>
      </c>
      <c r="B544" t="s">
        <v>1091</v>
      </c>
      <c r="C544">
        <v>105</v>
      </c>
      <c r="D544" t="s">
        <v>15</v>
      </c>
      <c r="E544" s="1">
        <v>45100</v>
      </c>
      <c r="J544">
        <v>76</v>
      </c>
      <c r="K544">
        <v>76</v>
      </c>
    </row>
    <row r="545" spans="1:11" x14ac:dyDescent="0.3">
      <c r="A545" t="s">
        <v>1676</v>
      </c>
      <c r="B545" t="s">
        <v>1677</v>
      </c>
      <c r="C545">
        <v>115</v>
      </c>
      <c r="D545" t="s">
        <v>15</v>
      </c>
      <c r="E545" s="1">
        <v>45373</v>
      </c>
      <c r="J545">
        <v>46</v>
      </c>
      <c r="K545">
        <v>42</v>
      </c>
    </row>
    <row r="546" spans="1:11" x14ac:dyDescent="0.3">
      <c r="A546" t="s">
        <v>942</v>
      </c>
      <c r="B546" t="s">
        <v>943</v>
      </c>
      <c r="C546">
        <v>90</v>
      </c>
      <c r="D546" t="s">
        <v>28</v>
      </c>
      <c r="E546" s="1">
        <v>45590</v>
      </c>
      <c r="J546">
        <v>69</v>
      </c>
      <c r="K546">
        <v>81</v>
      </c>
    </row>
    <row r="547" spans="1:11" x14ac:dyDescent="0.3">
      <c r="A547" t="s">
        <v>332</v>
      </c>
      <c r="B547" t="s">
        <v>333</v>
      </c>
      <c r="C547">
        <v>97</v>
      </c>
      <c r="D547" t="s">
        <v>28</v>
      </c>
      <c r="E547" s="1">
        <v>45667</v>
      </c>
      <c r="J547">
        <v>88</v>
      </c>
      <c r="K547">
        <v>95</v>
      </c>
    </row>
    <row r="548" spans="1:11" x14ac:dyDescent="0.3">
      <c r="A548" t="s">
        <v>95</v>
      </c>
      <c r="B548" t="s">
        <v>96</v>
      </c>
      <c r="C548">
        <v>132</v>
      </c>
      <c r="D548" t="s">
        <v>28</v>
      </c>
      <c r="E548" s="1">
        <v>45609</v>
      </c>
      <c r="J548">
        <v>70</v>
      </c>
      <c r="K548">
        <v>70</v>
      </c>
    </row>
    <row r="549" spans="1:11" x14ac:dyDescent="0.3">
      <c r="A549" t="s">
        <v>1544</v>
      </c>
      <c r="B549" t="s">
        <v>1545</v>
      </c>
      <c r="C549">
        <v>114</v>
      </c>
      <c r="D549" t="s">
        <v>28</v>
      </c>
      <c r="E549" s="1">
        <v>44988</v>
      </c>
      <c r="J549">
        <v>51</v>
      </c>
      <c r="K549">
        <v>51</v>
      </c>
    </row>
    <row r="550" spans="1:11" x14ac:dyDescent="0.3">
      <c r="A550" t="s">
        <v>867</v>
      </c>
      <c r="B550" t="s">
        <v>868</v>
      </c>
      <c r="C550">
        <v>106</v>
      </c>
      <c r="D550" t="s">
        <v>28</v>
      </c>
      <c r="E550" s="1">
        <v>45380</v>
      </c>
      <c r="J550">
        <v>60</v>
      </c>
      <c r="K550">
        <v>83</v>
      </c>
    </row>
    <row r="551" spans="1:11" x14ac:dyDescent="0.3">
      <c r="A551" t="s">
        <v>74</v>
      </c>
      <c r="B551" t="s">
        <v>75</v>
      </c>
      <c r="C551">
        <v>103</v>
      </c>
      <c r="D551" t="s">
        <v>28</v>
      </c>
      <c r="E551" s="1">
        <v>45569</v>
      </c>
      <c r="J551">
        <v>56</v>
      </c>
      <c r="K551">
        <v>80</v>
      </c>
    </row>
    <row r="552" spans="1:11" x14ac:dyDescent="0.3">
      <c r="A552" t="s">
        <v>871</v>
      </c>
      <c r="B552" t="s">
        <v>872</v>
      </c>
      <c r="C552">
        <v>106</v>
      </c>
      <c r="D552" t="s">
        <v>28</v>
      </c>
      <c r="E552" s="1">
        <v>45247</v>
      </c>
      <c r="J552">
        <v>63</v>
      </c>
      <c r="K552">
        <v>83</v>
      </c>
    </row>
    <row r="553" spans="1:11" x14ac:dyDescent="0.3">
      <c r="A553" t="s">
        <v>689</v>
      </c>
      <c r="B553" t="s">
        <v>690</v>
      </c>
      <c r="C553">
        <v>96</v>
      </c>
      <c r="D553" t="s">
        <v>28</v>
      </c>
      <c r="E553" s="1">
        <v>44715</v>
      </c>
      <c r="J553">
        <v>72</v>
      </c>
      <c r="K553">
        <v>88</v>
      </c>
    </row>
    <row r="554" spans="1:11" x14ac:dyDescent="0.3">
      <c r="A554" t="s">
        <v>850</v>
      </c>
      <c r="B554" t="s">
        <v>851</v>
      </c>
      <c r="C554">
        <v>94</v>
      </c>
      <c r="D554" t="s">
        <v>28</v>
      </c>
      <c r="E554" s="1">
        <v>44869</v>
      </c>
      <c r="J554">
        <v>66</v>
      </c>
      <c r="K554">
        <v>84</v>
      </c>
    </row>
    <row r="555" spans="1:11" x14ac:dyDescent="0.3">
      <c r="A555" t="s">
        <v>1984</v>
      </c>
      <c r="B555" t="s">
        <v>1985</v>
      </c>
      <c r="C555">
        <v>125</v>
      </c>
      <c r="D555" t="s">
        <v>15</v>
      </c>
      <c r="E555" s="1">
        <v>45730</v>
      </c>
      <c r="J555">
        <v>29</v>
      </c>
      <c r="K555">
        <v>14</v>
      </c>
    </row>
    <row r="556" spans="1:11" x14ac:dyDescent="0.3">
      <c r="A556" t="s">
        <v>962</v>
      </c>
      <c r="B556" t="s">
        <v>963</v>
      </c>
      <c r="C556">
        <v>103</v>
      </c>
      <c r="D556" t="s">
        <v>15</v>
      </c>
      <c r="E556" s="1">
        <v>44799</v>
      </c>
      <c r="J556">
        <v>66</v>
      </c>
      <c r="K556">
        <v>81</v>
      </c>
    </row>
    <row r="557" spans="1:11" x14ac:dyDescent="0.3">
      <c r="A557" t="s">
        <v>1016</v>
      </c>
      <c r="B557" t="s">
        <v>1017</v>
      </c>
      <c r="C557">
        <v>116</v>
      </c>
      <c r="D557" t="s">
        <v>28</v>
      </c>
      <c r="E557" s="1">
        <v>45632</v>
      </c>
      <c r="J557">
        <v>67</v>
      </c>
      <c r="K557">
        <v>78</v>
      </c>
    </row>
    <row r="558" spans="1:11" x14ac:dyDescent="0.3">
      <c r="A558" t="s">
        <v>1210</v>
      </c>
      <c r="B558" t="s">
        <v>1211</v>
      </c>
      <c r="C558">
        <v>164</v>
      </c>
      <c r="D558" t="s">
        <v>28</v>
      </c>
      <c r="E558" s="1">
        <v>45471</v>
      </c>
      <c r="J558">
        <v>64</v>
      </c>
      <c r="K558">
        <v>71</v>
      </c>
    </row>
    <row r="559" spans="1:11" x14ac:dyDescent="0.3">
      <c r="A559" t="s">
        <v>1880</v>
      </c>
      <c r="B559" t="s">
        <v>1881</v>
      </c>
      <c r="C559">
        <v>111</v>
      </c>
      <c r="D559" t="s">
        <v>28</v>
      </c>
      <c r="E559" s="1">
        <v>44939</v>
      </c>
      <c r="F559">
        <v>4.5999999999999996</v>
      </c>
      <c r="J559">
        <v>37</v>
      </c>
      <c r="K559">
        <v>27</v>
      </c>
    </row>
    <row r="560" spans="1:11" x14ac:dyDescent="0.3">
      <c r="A560" t="s">
        <v>1726</v>
      </c>
      <c r="B560" t="s">
        <v>1727</v>
      </c>
      <c r="C560">
        <v>107</v>
      </c>
      <c r="D560" t="s">
        <v>15</v>
      </c>
      <c r="E560" s="1">
        <v>45114</v>
      </c>
      <c r="J560">
        <v>45</v>
      </c>
      <c r="K560">
        <v>39</v>
      </c>
    </row>
    <row r="561" spans="1:11" x14ac:dyDescent="0.3">
      <c r="A561" t="s">
        <v>80</v>
      </c>
      <c r="B561" t="s">
        <v>81</v>
      </c>
      <c r="C561">
        <v>100</v>
      </c>
      <c r="D561" t="s">
        <v>12</v>
      </c>
      <c r="E561" s="1">
        <v>45184</v>
      </c>
      <c r="J561">
        <v>66</v>
      </c>
      <c r="K561">
        <v>78</v>
      </c>
    </row>
    <row r="562" spans="1:11" x14ac:dyDescent="0.3">
      <c r="A562" t="s">
        <v>1254</v>
      </c>
      <c r="B562" t="s">
        <v>1255</v>
      </c>
      <c r="C562">
        <v>107</v>
      </c>
      <c r="D562" t="s">
        <v>28</v>
      </c>
      <c r="E562" s="1">
        <v>44827</v>
      </c>
      <c r="J562">
        <v>51</v>
      </c>
      <c r="K562">
        <v>69</v>
      </c>
    </row>
    <row r="563" spans="1:11" x14ac:dyDescent="0.3">
      <c r="A563" t="s">
        <v>1322</v>
      </c>
      <c r="B563" t="s">
        <v>1323</v>
      </c>
      <c r="C563">
        <v>105</v>
      </c>
      <c r="D563" t="s">
        <v>28</v>
      </c>
      <c r="E563" s="1">
        <v>45068</v>
      </c>
      <c r="J563">
        <v>52</v>
      </c>
      <c r="K563">
        <v>66</v>
      </c>
    </row>
    <row r="564" spans="1:11" x14ac:dyDescent="0.3">
      <c r="A564" t="s">
        <v>284</v>
      </c>
      <c r="B564" t="s">
        <v>285</v>
      </c>
      <c r="C564">
        <v>105</v>
      </c>
      <c r="D564" t="s">
        <v>28</v>
      </c>
      <c r="E564" s="1">
        <v>45374</v>
      </c>
      <c r="J564">
        <v>67</v>
      </c>
      <c r="K564">
        <v>96</v>
      </c>
    </row>
    <row r="565" spans="1:11" x14ac:dyDescent="0.3">
      <c r="A565" t="s">
        <v>348</v>
      </c>
      <c r="B565" t="s">
        <v>349</v>
      </c>
      <c r="C565">
        <v>98</v>
      </c>
      <c r="D565" t="s">
        <v>28</v>
      </c>
      <c r="E565" s="1">
        <v>45174</v>
      </c>
      <c r="J565">
        <v>78</v>
      </c>
      <c r="K565">
        <v>95</v>
      </c>
    </row>
    <row r="566" spans="1:11" x14ac:dyDescent="0.3">
      <c r="A566" t="s">
        <v>1440</v>
      </c>
      <c r="B566" t="s">
        <v>1441</v>
      </c>
      <c r="C566">
        <v>93</v>
      </c>
      <c r="D566" t="s">
        <v>28</v>
      </c>
      <c r="E566" s="1">
        <v>45030</v>
      </c>
      <c r="J566">
        <v>53</v>
      </c>
      <c r="K566">
        <v>58</v>
      </c>
    </row>
    <row r="567" spans="1:11" x14ac:dyDescent="0.3">
      <c r="A567" t="s">
        <v>1682</v>
      </c>
      <c r="B567" t="s">
        <v>1683</v>
      </c>
      <c r="C567">
        <v>113</v>
      </c>
      <c r="D567" t="s">
        <v>28</v>
      </c>
      <c r="E567" s="1">
        <v>44841</v>
      </c>
      <c r="J567">
        <v>54</v>
      </c>
      <c r="K567">
        <v>42</v>
      </c>
    </row>
    <row r="568" spans="1:11" x14ac:dyDescent="0.3">
      <c r="A568" t="s">
        <v>1050</v>
      </c>
      <c r="B568" t="s">
        <v>1051</v>
      </c>
      <c r="C568">
        <v>108</v>
      </c>
      <c r="D568" t="s">
        <v>15</v>
      </c>
      <c r="E568" s="1">
        <v>45009</v>
      </c>
      <c r="J568">
        <v>64</v>
      </c>
      <c r="K568">
        <v>77</v>
      </c>
    </row>
    <row r="569" spans="1:11" x14ac:dyDescent="0.3">
      <c r="A569" t="s">
        <v>198</v>
      </c>
      <c r="B569" t="s">
        <v>199</v>
      </c>
      <c r="C569">
        <v>89</v>
      </c>
      <c r="D569" t="s">
        <v>28</v>
      </c>
      <c r="E569" s="1">
        <v>45609</v>
      </c>
      <c r="J569">
        <v>87</v>
      </c>
      <c r="K569">
        <v>98</v>
      </c>
    </row>
    <row r="570" spans="1:11" x14ac:dyDescent="0.3">
      <c r="A570" t="s">
        <v>64</v>
      </c>
      <c r="B570" t="s">
        <v>65</v>
      </c>
      <c r="C570">
        <v>96</v>
      </c>
      <c r="D570" t="s">
        <v>15</v>
      </c>
      <c r="E570" s="1">
        <v>45001</v>
      </c>
      <c r="J570">
        <v>68</v>
      </c>
      <c r="K570">
        <v>84</v>
      </c>
    </row>
    <row r="571" spans="1:11" x14ac:dyDescent="0.3">
      <c r="A571" t="s">
        <v>818</v>
      </c>
      <c r="B571" t="s">
        <v>819</v>
      </c>
      <c r="C571">
        <v>86</v>
      </c>
      <c r="D571" t="s">
        <v>28</v>
      </c>
      <c r="E571" s="1">
        <v>44694</v>
      </c>
      <c r="J571">
        <v>74</v>
      </c>
      <c r="K571">
        <v>85</v>
      </c>
    </row>
    <row r="572" spans="1:11" x14ac:dyDescent="0.3">
      <c r="A572" t="s">
        <v>604</v>
      </c>
      <c r="B572" t="s">
        <v>605</v>
      </c>
      <c r="C572">
        <v>95</v>
      </c>
      <c r="D572" t="s">
        <v>28</v>
      </c>
      <c r="E572" s="1">
        <v>45114</v>
      </c>
      <c r="J572">
        <v>74</v>
      </c>
      <c r="K572">
        <v>90</v>
      </c>
    </row>
    <row r="573" spans="1:11" x14ac:dyDescent="0.3">
      <c r="A573" t="s">
        <v>382</v>
      </c>
      <c r="B573" t="s">
        <v>383</v>
      </c>
      <c r="C573">
        <v>89</v>
      </c>
      <c r="D573" t="s">
        <v>63</v>
      </c>
      <c r="E573" s="1">
        <v>45583</v>
      </c>
      <c r="J573">
        <v>78</v>
      </c>
      <c r="K573">
        <v>94</v>
      </c>
    </row>
    <row r="574" spans="1:11" x14ac:dyDescent="0.3">
      <c r="A574" t="s">
        <v>739</v>
      </c>
      <c r="B574" t="s">
        <v>740</v>
      </c>
      <c r="C574">
        <v>129</v>
      </c>
      <c r="D574" t="s">
        <v>28</v>
      </c>
      <c r="E574" s="1">
        <v>45443</v>
      </c>
      <c r="J574">
        <v>70</v>
      </c>
      <c r="K574">
        <v>86</v>
      </c>
    </row>
    <row r="575" spans="1:11" x14ac:dyDescent="0.3">
      <c r="A575" t="s">
        <v>926</v>
      </c>
      <c r="B575" t="s">
        <v>927</v>
      </c>
      <c r="C575">
        <v>121</v>
      </c>
      <c r="D575" t="s">
        <v>28</v>
      </c>
      <c r="E575" s="1">
        <v>44862</v>
      </c>
      <c r="J575">
        <v>62</v>
      </c>
      <c r="K575">
        <v>82</v>
      </c>
    </row>
    <row r="576" spans="1:11" x14ac:dyDescent="0.3">
      <c r="A576" t="s">
        <v>306</v>
      </c>
      <c r="B576" t="s">
        <v>307</v>
      </c>
      <c r="C576">
        <v>88</v>
      </c>
      <c r="D576" t="s">
        <v>18</v>
      </c>
      <c r="E576" s="1">
        <v>44947</v>
      </c>
      <c r="J576">
        <v>85</v>
      </c>
      <c r="K576">
        <v>96</v>
      </c>
    </row>
    <row r="577" spans="1:11" x14ac:dyDescent="0.3">
      <c r="A577" t="s">
        <v>749</v>
      </c>
      <c r="B577" t="s">
        <v>750</v>
      </c>
      <c r="C577">
        <v>92</v>
      </c>
      <c r="D577" t="s">
        <v>15</v>
      </c>
      <c r="E577" s="1">
        <v>45183</v>
      </c>
      <c r="J577">
        <v>70</v>
      </c>
      <c r="K577">
        <v>86</v>
      </c>
    </row>
    <row r="578" spans="1:11" x14ac:dyDescent="0.3">
      <c r="A578" t="s">
        <v>51</v>
      </c>
      <c r="B578" t="s">
        <v>52</v>
      </c>
      <c r="C578">
        <v>104</v>
      </c>
      <c r="D578" t="s">
        <v>28</v>
      </c>
      <c r="E578" s="1">
        <v>45345</v>
      </c>
      <c r="J578">
        <v>61</v>
      </c>
      <c r="K578">
        <v>88</v>
      </c>
    </row>
    <row r="579" spans="1:11" x14ac:dyDescent="0.3">
      <c r="A579" t="s">
        <v>994</v>
      </c>
      <c r="B579" t="s">
        <v>995</v>
      </c>
      <c r="C579">
        <v>103</v>
      </c>
      <c r="D579" t="s">
        <v>28</v>
      </c>
      <c r="E579" s="1">
        <v>45590</v>
      </c>
      <c r="J579">
        <v>62</v>
      </c>
      <c r="K579">
        <v>79</v>
      </c>
    </row>
    <row r="580" spans="1:11" x14ac:dyDescent="0.3">
      <c r="A580" t="s">
        <v>881</v>
      </c>
      <c r="B580" t="s">
        <v>882</v>
      </c>
      <c r="C580">
        <v>128</v>
      </c>
      <c r="D580" t="s">
        <v>15</v>
      </c>
      <c r="E580" s="1">
        <v>44692</v>
      </c>
      <c r="J580">
        <v>65</v>
      </c>
      <c r="K580">
        <v>83</v>
      </c>
    </row>
    <row r="581" spans="1:11" x14ac:dyDescent="0.3">
      <c r="A581" t="s">
        <v>1452</v>
      </c>
      <c r="B581" t="s">
        <v>1453</v>
      </c>
      <c r="C581">
        <v>99</v>
      </c>
      <c r="D581" t="s">
        <v>12</v>
      </c>
      <c r="E581" s="1">
        <v>44827</v>
      </c>
      <c r="J581">
        <v>54</v>
      </c>
      <c r="K581">
        <v>57</v>
      </c>
    </row>
    <row r="582" spans="1:11" x14ac:dyDescent="0.3">
      <c r="A582" t="s">
        <v>1625</v>
      </c>
      <c r="B582" t="s">
        <v>1626</v>
      </c>
      <c r="C582">
        <v>113</v>
      </c>
      <c r="D582" t="s">
        <v>28</v>
      </c>
      <c r="E582" s="1">
        <v>45358</v>
      </c>
      <c r="J582">
        <v>44</v>
      </c>
      <c r="K582">
        <v>45</v>
      </c>
    </row>
    <row r="583" spans="1:11" x14ac:dyDescent="0.3">
      <c r="A583" t="s">
        <v>1621</v>
      </c>
      <c r="B583" t="s">
        <v>1622</v>
      </c>
      <c r="C583">
        <v>112</v>
      </c>
      <c r="D583" t="s">
        <v>15</v>
      </c>
      <c r="E583" s="1">
        <v>45646</v>
      </c>
      <c r="J583">
        <v>44</v>
      </c>
      <c r="K583">
        <v>45</v>
      </c>
    </row>
    <row r="584" spans="1:11" x14ac:dyDescent="0.3">
      <c r="A584" t="s">
        <v>1760</v>
      </c>
      <c r="B584" t="s">
        <v>1761</v>
      </c>
      <c r="C584">
        <v>104</v>
      </c>
      <c r="D584" t="s">
        <v>15</v>
      </c>
      <c r="E584" s="1">
        <v>45597</v>
      </c>
      <c r="J584">
        <v>39</v>
      </c>
      <c r="K584">
        <v>36</v>
      </c>
    </row>
    <row r="585" spans="1:11" x14ac:dyDescent="0.3">
      <c r="A585" t="s">
        <v>549</v>
      </c>
      <c r="B585" t="s">
        <v>550</v>
      </c>
      <c r="C585">
        <v>93</v>
      </c>
      <c r="D585" t="s">
        <v>551</v>
      </c>
      <c r="E585" s="1">
        <v>45324</v>
      </c>
      <c r="J585">
        <v>72</v>
      </c>
      <c r="K585">
        <v>91</v>
      </c>
    </row>
    <row r="586" spans="1:11" x14ac:dyDescent="0.3">
      <c r="A586" t="s">
        <v>1688</v>
      </c>
      <c r="B586" t="s">
        <v>1689</v>
      </c>
      <c r="C586">
        <v>111</v>
      </c>
      <c r="D586" t="s">
        <v>28</v>
      </c>
      <c r="E586" s="1">
        <v>45547</v>
      </c>
      <c r="J586">
        <v>44</v>
      </c>
      <c r="K586">
        <v>41</v>
      </c>
    </row>
    <row r="587" spans="1:11" x14ac:dyDescent="0.3">
      <c r="A587" t="s">
        <v>1310</v>
      </c>
      <c r="B587" t="s">
        <v>1311</v>
      </c>
      <c r="C587">
        <v>108</v>
      </c>
      <c r="D587" t="s">
        <v>28</v>
      </c>
      <c r="E587" s="1">
        <v>45562</v>
      </c>
      <c r="J587">
        <v>60</v>
      </c>
      <c r="K587">
        <v>66</v>
      </c>
    </row>
    <row r="588" spans="1:11" x14ac:dyDescent="0.3">
      <c r="A588" t="s">
        <v>1843</v>
      </c>
      <c r="B588" t="s">
        <v>1844</v>
      </c>
      <c r="C588">
        <v>91</v>
      </c>
      <c r="D588" t="s">
        <v>28</v>
      </c>
      <c r="E588" s="1">
        <v>45163</v>
      </c>
      <c r="J588">
        <v>43</v>
      </c>
      <c r="K588">
        <v>30</v>
      </c>
    </row>
    <row r="589" spans="1:11" x14ac:dyDescent="0.3">
      <c r="A589" t="s">
        <v>1555</v>
      </c>
      <c r="B589" t="s">
        <v>1556</v>
      </c>
      <c r="C589">
        <v>134</v>
      </c>
      <c r="D589" t="s">
        <v>15</v>
      </c>
      <c r="E589" s="1">
        <v>45639</v>
      </c>
      <c r="J589">
        <v>54</v>
      </c>
      <c r="K589">
        <v>49</v>
      </c>
    </row>
    <row r="590" spans="1:11" x14ac:dyDescent="0.3">
      <c r="A590" t="s">
        <v>1284</v>
      </c>
      <c r="B590" t="s">
        <v>1285</v>
      </c>
      <c r="C590">
        <v>93</v>
      </c>
      <c r="D590" t="s">
        <v>28</v>
      </c>
      <c r="E590" s="1">
        <v>44792</v>
      </c>
      <c r="J590">
        <v>54</v>
      </c>
      <c r="K590">
        <v>68</v>
      </c>
    </row>
    <row r="591" spans="1:11" x14ac:dyDescent="0.3">
      <c r="A591" t="s">
        <v>388</v>
      </c>
      <c r="B591" t="s">
        <v>389</v>
      </c>
      <c r="C591">
        <v>104</v>
      </c>
      <c r="D591" t="s">
        <v>28</v>
      </c>
      <c r="E591" s="1">
        <v>45415</v>
      </c>
      <c r="J591">
        <v>77</v>
      </c>
      <c r="K591">
        <v>94</v>
      </c>
    </row>
    <row r="592" spans="1:11" x14ac:dyDescent="0.3">
      <c r="A592" t="s">
        <v>608</v>
      </c>
      <c r="B592" t="s">
        <v>609</v>
      </c>
      <c r="C592">
        <v>101</v>
      </c>
      <c r="D592" t="s">
        <v>90</v>
      </c>
      <c r="E592" s="1">
        <v>44896</v>
      </c>
      <c r="J592">
        <v>62</v>
      </c>
      <c r="K592">
        <v>90</v>
      </c>
    </row>
    <row r="593" spans="1:11" x14ac:dyDescent="0.3">
      <c r="A593" t="s">
        <v>352</v>
      </c>
      <c r="B593" t="s">
        <v>353</v>
      </c>
      <c r="C593">
        <v>122</v>
      </c>
      <c r="D593" t="s">
        <v>28</v>
      </c>
      <c r="E593" s="1">
        <v>45128</v>
      </c>
      <c r="J593">
        <v>74</v>
      </c>
      <c r="K593">
        <v>95</v>
      </c>
    </row>
    <row r="594" spans="1:11" x14ac:dyDescent="0.3">
      <c r="A594" t="s">
        <v>582</v>
      </c>
      <c r="B594" t="s">
        <v>583</v>
      </c>
      <c r="C594">
        <v>114</v>
      </c>
      <c r="D594" t="s">
        <v>18</v>
      </c>
      <c r="E594" s="1">
        <v>45569</v>
      </c>
      <c r="J594">
        <v>65</v>
      </c>
      <c r="K594">
        <v>90</v>
      </c>
    </row>
    <row r="595" spans="1:11" x14ac:dyDescent="0.3">
      <c r="A595" t="s">
        <v>342</v>
      </c>
      <c r="B595" t="s">
        <v>343</v>
      </c>
      <c r="C595">
        <v>106</v>
      </c>
      <c r="D595" t="s">
        <v>18</v>
      </c>
      <c r="E595" s="1">
        <v>45408</v>
      </c>
      <c r="J595">
        <v>70</v>
      </c>
      <c r="K595">
        <v>95</v>
      </c>
    </row>
    <row r="596" spans="1:11" x14ac:dyDescent="0.3">
      <c r="A596" t="s">
        <v>1084</v>
      </c>
      <c r="B596" t="s">
        <v>1085</v>
      </c>
      <c r="C596">
        <v>103</v>
      </c>
      <c r="D596" t="s">
        <v>15</v>
      </c>
      <c r="E596" s="1">
        <v>45184</v>
      </c>
      <c r="J596">
        <v>63</v>
      </c>
      <c r="K596">
        <v>76</v>
      </c>
    </row>
    <row r="597" spans="1:11" x14ac:dyDescent="0.3">
      <c r="A597" t="s">
        <v>552</v>
      </c>
      <c r="B597" t="s">
        <v>553</v>
      </c>
      <c r="C597">
        <v>117</v>
      </c>
      <c r="D597" t="s">
        <v>28</v>
      </c>
      <c r="E597" s="1">
        <v>45261</v>
      </c>
      <c r="J597">
        <v>86</v>
      </c>
      <c r="K597">
        <v>91</v>
      </c>
    </row>
    <row r="598" spans="1:11" x14ac:dyDescent="0.3">
      <c r="A598" t="s">
        <v>380</v>
      </c>
      <c r="B598" t="s">
        <v>381</v>
      </c>
      <c r="C598">
        <v>89</v>
      </c>
      <c r="D598" t="s">
        <v>28</v>
      </c>
      <c r="E598" s="1">
        <v>45674</v>
      </c>
      <c r="J598">
        <v>82</v>
      </c>
      <c r="K598">
        <v>94</v>
      </c>
    </row>
    <row r="599" spans="1:11" x14ac:dyDescent="0.3">
      <c r="A599" t="s">
        <v>570</v>
      </c>
      <c r="B599" t="s">
        <v>571</v>
      </c>
      <c r="C599">
        <v>99</v>
      </c>
      <c r="D599" t="s">
        <v>18</v>
      </c>
      <c r="E599" s="1">
        <v>44848</v>
      </c>
      <c r="J599">
        <v>72</v>
      </c>
      <c r="K599">
        <v>91</v>
      </c>
    </row>
    <row r="600" spans="1:11" x14ac:dyDescent="0.3">
      <c r="A600" t="s">
        <v>1034</v>
      </c>
      <c r="B600" t="s">
        <v>1035</v>
      </c>
      <c r="C600">
        <v>137</v>
      </c>
      <c r="D600" t="s">
        <v>28</v>
      </c>
      <c r="E600" s="1">
        <v>45745</v>
      </c>
      <c r="J600">
        <v>72</v>
      </c>
      <c r="K600">
        <v>77</v>
      </c>
    </row>
    <row r="601" spans="1:11" x14ac:dyDescent="0.3">
      <c r="A601" t="s">
        <v>709</v>
      </c>
      <c r="B601" t="s">
        <v>710</v>
      </c>
      <c r="C601">
        <v>99</v>
      </c>
      <c r="D601" t="s">
        <v>28</v>
      </c>
      <c r="E601" s="1">
        <v>44827</v>
      </c>
      <c r="J601">
        <v>73</v>
      </c>
      <c r="K601">
        <v>87</v>
      </c>
    </row>
    <row r="602" spans="1:11" x14ac:dyDescent="0.3">
      <c r="A602" t="s">
        <v>1538</v>
      </c>
      <c r="B602" t="s">
        <v>1539</v>
      </c>
      <c r="C602">
        <v>110</v>
      </c>
      <c r="D602" t="s">
        <v>28</v>
      </c>
      <c r="E602" s="1">
        <v>45177</v>
      </c>
      <c r="J602">
        <v>47</v>
      </c>
      <c r="K602">
        <v>51</v>
      </c>
    </row>
    <row r="603" spans="1:11" x14ac:dyDescent="0.3">
      <c r="A603" t="s">
        <v>1567</v>
      </c>
      <c r="B603" t="s">
        <v>1568</v>
      </c>
      <c r="C603">
        <v>109</v>
      </c>
      <c r="D603" t="s">
        <v>12</v>
      </c>
      <c r="E603" s="1">
        <v>45618</v>
      </c>
      <c r="J603">
        <v>54</v>
      </c>
      <c r="K603">
        <v>48</v>
      </c>
    </row>
    <row r="604" spans="1:11" x14ac:dyDescent="0.3">
      <c r="A604" t="s">
        <v>1478</v>
      </c>
      <c r="B604" t="s">
        <v>1479</v>
      </c>
      <c r="C604">
        <v>98</v>
      </c>
      <c r="D604" t="s">
        <v>12</v>
      </c>
      <c r="E604" s="1">
        <v>44757</v>
      </c>
      <c r="J604">
        <v>45</v>
      </c>
      <c r="K604">
        <v>56</v>
      </c>
    </row>
    <row r="605" spans="1:11" x14ac:dyDescent="0.3">
      <c r="A605" t="s">
        <v>1256</v>
      </c>
      <c r="B605" t="s">
        <v>1257</v>
      </c>
      <c r="C605">
        <v>99</v>
      </c>
      <c r="D605" t="s">
        <v>28</v>
      </c>
      <c r="E605" s="1">
        <v>44792</v>
      </c>
      <c r="J605">
        <v>54</v>
      </c>
      <c r="K605">
        <v>69</v>
      </c>
    </row>
    <row r="606" spans="1:11" x14ac:dyDescent="0.3">
      <c r="A606" t="s">
        <v>1653</v>
      </c>
      <c r="B606" t="s">
        <v>1654</v>
      </c>
      <c r="C606">
        <v>110</v>
      </c>
      <c r="D606" t="s">
        <v>15</v>
      </c>
      <c r="E606" s="1">
        <v>45457</v>
      </c>
      <c r="J606">
        <v>48</v>
      </c>
      <c r="K606">
        <v>43</v>
      </c>
    </row>
    <row r="607" spans="1:11" x14ac:dyDescent="0.3">
      <c r="A607" t="s">
        <v>1657</v>
      </c>
      <c r="B607" t="s">
        <v>1658</v>
      </c>
      <c r="C607">
        <v>107</v>
      </c>
      <c r="D607" t="s">
        <v>15</v>
      </c>
      <c r="E607" s="1">
        <v>45336</v>
      </c>
      <c r="J607">
        <v>43</v>
      </c>
      <c r="K607">
        <v>43</v>
      </c>
    </row>
    <row r="608" spans="1:11" x14ac:dyDescent="0.3">
      <c r="A608" t="s">
        <v>1234</v>
      </c>
      <c r="B608" t="s">
        <v>1235</v>
      </c>
      <c r="C608">
        <v>111</v>
      </c>
      <c r="D608" t="s">
        <v>28</v>
      </c>
      <c r="E608" s="1">
        <v>44610</v>
      </c>
      <c r="J608">
        <v>62</v>
      </c>
      <c r="K608">
        <v>71</v>
      </c>
    </row>
    <row r="609" spans="1:11" x14ac:dyDescent="0.3">
      <c r="A609" t="s">
        <v>1372</v>
      </c>
      <c r="B609" t="s">
        <v>1373</v>
      </c>
      <c r="C609">
        <v>144</v>
      </c>
      <c r="D609" t="s">
        <v>28</v>
      </c>
      <c r="E609" s="1">
        <v>45667</v>
      </c>
      <c r="J609">
        <v>60</v>
      </c>
      <c r="K609">
        <v>62</v>
      </c>
    </row>
    <row r="610" spans="1:11" x14ac:dyDescent="0.3">
      <c r="A610" t="s">
        <v>1480</v>
      </c>
      <c r="B610" t="s">
        <v>1481</v>
      </c>
      <c r="C610">
        <v>126</v>
      </c>
      <c r="D610" t="s">
        <v>15</v>
      </c>
      <c r="E610" s="1">
        <v>44708</v>
      </c>
      <c r="J610">
        <v>53</v>
      </c>
      <c r="K610">
        <v>56</v>
      </c>
    </row>
    <row r="611" spans="1:11" x14ac:dyDescent="0.3">
      <c r="A611" t="s">
        <v>1651</v>
      </c>
      <c r="B611" t="s">
        <v>1652</v>
      </c>
      <c r="C611">
        <v>93</v>
      </c>
      <c r="D611" t="s">
        <v>63</v>
      </c>
      <c r="E611" s="1">
        <v>45492</v>
      </c>
      <c r="J611">
        <v>50</v>
      </c>
      <c r="K611">
        <v>43</v>
      </c>
    </row>
    <row r="612" spans="1:11" x14ac:dyDescent="0.3">
      <c r="A612" t="s">
        <v>400</v>
      </c>
      <c r="B612" t="s">
        <v>401</v>
      </c>
      <c r="C612">
        <v>103</v>
      </c>
      <c r="D612" t="s">
        <v>15</v>
      </c>
      <c r="E612" s="1">
        <v>45268</v>
      </c>
      <c r="J612">
        <v>74</v>
      </c>
      <c r="K612">
        <v>94</v>
      </c>
    </row>
    <row r="613" spans="1:11" x14ac:dyDescent="0.3">
      <c r="A613" t="s">
        <v>488</v>
      </c>
      <c r="B613" t="s">
        <v>489</v>
      </c>
      <c r="C613">
        <v>108</v>
      </c>
      <c r="D613" t="s">
        <v>28</v>
      </c>
      <c r="E613" s="1">
        <v>44697</v>
      </c>
      <c r="J613">
        <v>82</v>
      </c>
      <c r="K613">
        <v>93</v>
      </c>
    </row>
    <row r="614" spans="1:11" x14ac:dyDescent="0.3">
      <c r="A614" t="s">
        <v>804</v>
      </c>
      <c r="B614" t="s">
        <v>805</v>
      </c>
      <c r="C614">
        <v>108</v>
      </c>
      <c r="D614" t="s">
        <v>28</v>
      </c>
      <c r="E614" s="1">
        <v>44881</v>
      </c>
      <c r="J614">
        <v>71</v>
      </c>
      <c r="K614">
        <v>85</v>
      </c>
    </row>
    <row r="615" spans="1:11" x14ac:dyDescent="0.3">
      <c r="A615" t="s">
        <v>346</v>
      </c>
      <c r="B615" t="s">
        <v>347</v>
      </c>
      <c r="C615">
        <v>96</v>
      </c>
      <c r="D615" t="s">
        <v>63</v>
      </c>
      <c r="E615" s="1">
        <v>45251</v>
      </c>
      <c r="J615">
        <v>72</v>
      </c>
      <c r="K615">
        <v>95</v>
      </c>
    </row>
    <row r="616" spans="1:11" x14ac:dyDescent="0.3">
      <c r="A616" t="s">
        <v>731</v>
      </c>
      <c r="B616" t="s">
        <v>732</v>
      </c>
      <c r="C616">
        <v>127</v>
      </c>
      <c r="D616" t="s">
        <v>28</v>
      </c>
      <c r="E616" s="1">
        <v>45583</v>
      </c>
      <c r="J616">
        <v>67</v>
      </c>
      <c r="K616">
        <v>86</v>
      </c>
    </row>
    <row r="617" spans="1:11" x14ac:dyDescent="0.3">
      <c r="A617" t="s">
        <v>1639</v>
      </c>
      <c r="B617" t="s">
        <v>1640</v>
      </c>
      <c r="C617">
        <v>115</v>
      </c>
      <c r="D617" t="s">
        <v>28</v>
      </c>
      <c r="E617" s="1">
        <v>44904</v>
      </c>
      <c r="J617">
        <v>54</v>
      </c>
      <c r="K617">
        <v>44</v>
      </c>
    </row>
    <row r="618" spans="1:11" x14ac:dyDescent="0.3">
      <c r="A618" t="s">
        <v>1046</v>
      </c>
      <c r="B618" t="s">
        <v>1047</v>
      </c>
      <c r="C618">
        <v>122</v>
      </c>
      <c r="D618" t="s">
        <v>28</v>
      </c>
      <c r="E618" s="1">
        <v>45086</v>
      </c>
      <c r="J618">
        <v>56</v>
      </c>
      <c r="K618">
        <v>77</v>
      </c>
    </row>
    <row r="619" spans="1:11" x14ac:dyDescent="0.3">
      <c r="A619" t="s">
        <v>434</v>
      </c>
      <c r="B619" t="s">
        <v>435</v>
      </c>
      <c r="C619">
        <v>116</v>
      </c>
      <c r="D619" t="s">
        <v>28</v>
      </c>
      <c r="E619" s="1">
        <v>45765</v>
      </c>
      <c r="J619">
        <v>75</v>
      </c>
      <c r="K619">
        <v>93</v>
      </c>
    </row>
    <row r="620" spans="1:11" x14ac:dyDescent="0.3">
      <c r="A620" t="s">
        <v>932</v>
      </c>
      <c r="B620" t="s">
        <v>933</v>
      </c>
      <c r="C620">
        <v>107</v>
      </c>
      <c r="D620" t="s">
        <v>28</v>
      </c>
      <c r="E620" s="1">
        <v>44771</v>
      </c>
      <c r="J620">
        <v>65</v>
      </c>
      <c r="K620">
        <v>82</v>
      </c>
    </row>
    <row r="621" spans="1:11" x14ac:dyDescent="0.3">
      <c r="A621" t="s">
        <v>328</v>
      </c>
      <c r="B621" t="s">
        <v>329</v>
      </c>
      <c r="C621">
        <v>115</v>
      </c>
      <c r="D621" t="s">
        <v>28</v>
      </c>
      <c r="E621" s="1">
        <v>44617</v>
      </c>
      <c r="J621">
        <v>79</v>
      </c>
      <c r="K621">
        <v>96</v>
      </c>
    </row>
    <row r="622" spans="1:11" x14ac:dyDescent="0.3">
      <c r="A622" t="s">
        <v>256</v>
      </c>
      <c r="B622" t="s">
        <v>257</v>
      </c>
      <c r="C622">
        <v>117</v>
      </c>
      <c r="D622" t="s">
        <v>28</v>
      </c>
      <c r="E622" s="1">
        <v>45016</v>
      </c>
      <c r="J622">
        <v>81</v>
      </c>
      <c r="K622">
        <v>97</v>
      </c>
    </row>
    <row r="623" spans="1:11" x14ac:dyDescent="0.3">
      <c r="A623" t="s">
        <v>677</v>
      </c>
      <c r="B623" t="s">
        <v>678</v>
      </c>
      <c r="C623">
        <v>100</v>
      </c>
      <c r="D623" t="s">
        <v>28</v>
      </c>
      <c r="E623" s="1">
        <v>45023</v>
      </c>
      <c r="J623">
        <v>69</v>
      </c>
      <c r="K623">
        <v>88</v>
      </c>
    </row>
    <row r="624" spans="1:11" x14ac:dyDescent="0.3">
      <c r="A624" t="s">
        <v>860</v>
      </c>
      <c r="B624" t="s">
        <v>861</v>
      </c>
      <c r="C624">
        <v>93</v>
      </c>
      <c r="D624" t="s">
        <v>862</v>
      </c>
      <c r="E624" s="1">
        <v>45435</v>
      </c>
      <c r="J624">
        <v>66</v>
      </c>
      <c r="K624">
        <v>83</v>
      </c>
    </row>
    <row r="625" spans="1:11" x14ac:dyDescent="0.3">
      <c r="A625" t="s">
        <v>318</v>
      </c>
      <c r="B625" t="s">
        <v>319</v>
      </c>
      <c r="C625">
        <v>112</v>
      </c>
      <c r="D625" t="s">
        <v>12</v>
      </c>
      <c r="E625" s="1">
        <v>44724</v>
      </c>
      <c r="J625">
        <v>81</v>
      </c>
      <c r="K625">
        <v>96</v>
      </c>
    </row>
    <row r="626" spans="1:11" x14ac:dyDescent="0.3">
      <c r="A626" t="s">
        <v>1132</v>
      </c>
      <c r="B626" t="s">
        <v>1133</v>
      </c>
      <c r="C626">
        <v>112</v>
      </c>
      <c r="D626" t="s">
        <v>15</v>
      </c>
      <c r="E626" s="1">
        <v>45715</v>
      </c>
      <c r="J626">
        <v>56</v>
      </c>
      <c r="K626">
        <v>74</v>
      </c>
    </row>
    <row r="627" spans="1:11" x14ac:dyDescent="0.3">
      <c r="A627" t="s">
        <v>1286</v>
      </c>
      <c r="B627" t="s">
        <v>1287</v>
      </c>
      <c r="C627">
        <v>136</v>
      </c>
      <c r="D627" t="s">
        <v>28</v>
      </c>
      <c r="E627" s="1">
        <v>44659</v>
      </c>
      <c r="J627">
        <v>55</v>
      </c>
      <c r="K627">
        <v>68</v>
      </c>
    </row>
    <row r="628" spans="1:11" x14ac:dyDescent="0.3">
      <c r="A628" t="s">
        <v>1661</v>
      </c>
      <c r="B628" t="s">
        <v>1662</v>
      </c>
      <c r="C628">
        <v>115</v>
      </c>
      <c r="D628" t="s">
        <v>28</v>
      </c>
      <c r="E628" s="1">
        <v>45058</v>
      </c>
      <c r="J628">
        <v>45</v>
      </c>
      <c r="K628">
        <v>43</v>
      </c>
    </row>
    <row r="629" spans="1:11" x14ac:dyDescent="0.3">
      <c r="A629" t="s">
        <v>1394</v>
      </c>
      <c r="B629" t="s">
        <v>1395</v>
      </c>
      <c r="C629">
        <v>112</v>
      </c>
      <c r="D629" t="s">
        <v>15</v>
      </c>
      <c r="E629" s="1">
        <v>44603</v>
      </c>
      <c r="J629">
        <v>51</v>
      </c>
      <c r="K629">
        <v>61</v>
      </c>
    </row>
    <row r="630" spans="1:11" x14ac:dyDescent="0.3">
      <c r="A630" t="s">
        <v>1554</v>
      </c>
      <c r="B630">
        <v>2073</v>
      </c>
      <c r="C630">
        <v>85</v>
      </c>
      <c r="D630" t="s">
        <v>28</v>
      </c>
      <c r="E630" s="1">
        <v>45653</v>
      </c>
      <c r="J630">
        <v>52</v>
      </c>
      <c r="K630">
        <v>49</v>
      </c>
    </row>
    <row r="631" spans="1:11" x14ac:dyDescent="0.3">
      <c r="A631" t="s">
        <v>1302</v>
      </c>
      <c r="B631" t="s">
        <v>1303</v>
      </c>
      <c r="C631">
        <v>129</v>
      </c>
      <c r="D631" t="s">
        <v>28</v>
      </c>
      <c r="E631" s="1">
        <v>44995</v>
      </c>
      <c r="J631">
        <v>53</v>
      </c>
      <c r="K631">
        <v>67</v>
      </c>
    </row>
    <row r="632" spans="1:11" x14ac:dyDescent="0.3">
      <c r="A632" t="s">
        <v>1024</v>
      </c>
      <c r="B632" t="s">
        <v>1025</v>
      </c>
      <c r="C632">
        <v>127</v>
      </c>
      <c r="D632" t="s">
        <v>15</v>
      </c>
      <c r="E632" s="1">
        <v>45156</v>
      </c>
      <c r="J632">
        <v>61</v>
      </c>
      <c r="K632">
        <v>78</v>
      </c>
    </row>
    <row r="633" spans="1:11" x14ac:dyDescent="0.3">
      <c r="A633" t="s">
        <v>378</v>
      </c>
      <c r="B633" t="s">
        <v>379</v>
      </c>
      <c r="C633">
        <v>97</v>
      </c>
      <c r="D633" t="s">
        <v>28</v>
      </c>
      <c r="E633" s="1">
        <v>45674</v>
      </c>
      <c r="J633">
        <v>71</v>
      </c>
      <c r="K633">
        <v>94</v>
      </c>
    </row>
    <row r="634" spans="1:11" x14ac:dyDescent="0.3">
      <c r="A634" t="s">
        <v>1874</v>
      </c>
      <c r="B634" t="s">
        <v>1875</v>
      </c>
      <c r="C634">
        <v>90</v>
      </c>
      <c r="D634" t="s">
        <v>12</v>
      </c>
      <c r="E634" s="1">
        <v>45506</v>
      </c>
      <c r="J634">
        <v>34</v>
      </c>
      <c r="K634">
        <v>27</v>
      </c>
    </row>
    <row r="635" spans="1:11" x14ac:dyDescent="0.3">
      <c r="A635" t="s">
        <v>494</v>
      </c>
      <c r="B635" t="s">
        <v>495</v>
      </c>
      <c r="C635">
        <v>140</v>
      </c>
      <c r="D635" t="s">
        <v>15</v>
      </c>
      <c r="E635" s="1">
        <v>45716</v>
      </c>
      <c r="J635">
        <v>91</v>
      </c>
      <c r="K635">
        <v>92</v>
      </c>
    </row>
    <row r="636" spans="1:11" x14ac:dyDescent="0.3">
      <c r="A636" t="s">
        <v>554</v>
      </c>
      <c r="B636" t="s">
        <v>555</v>
      </c>
      <c r="C636">
        <v>102</v>
      </c>
      <c r="D636" t="s">
        <v>28</v>
      </c>
      <c r="E636" s="1">
        <v>45252</v>
      </c>
      <c r="J636">
        <v>74</v>
      </c>
      <c r="K636">
        <v>91</v>
      </c>
    </row>
    <row r="637" spans="1:11" x14ac:dyDescent="0.3">
      <c r="A637" t="s">
        <v>1298</v>
      </c>
      <c r="B637" t="s">
        <v>1299</v>
      </c>
      <c r="C637">
        <v>112</v>
      </c>
      <c r="D637" t="s">
        <v>28</v>
      </c>
      <c r="E637" s="1">
        <v>45002</v>
      </c>
      <c r="J637">
        <v>58</v>
      </c>
      <c r="K637">
        <v>67</v>
      </c>
    </row>
    <row r="638" spans="1:11" x14ac:dyDescent="0.3">
      <c r="A638" t="s">
        <v>885</v>
      </c>
      <c r="B638" t="s">
        <v>859</v>
      </c>
      <c r="C638">
        <v>97</v>
      </c>
      <c r="D638" t="s">
        <v>18</v>
      </c>
      <c r="E638" s="1">
        <v>44637</v>
      </c>
      <c r="J638">
        <v>78</v>
      </c>
      <c r="K638">
        <v>83</v>
      </c>
    </row>
    <row r="639" spans="1:11" x14ac:dyDescent="0.3">
      <c r="A639" t="s">
        <v>1932</v>
      </c>
      <c r="B639" t="s">
        <v>1933</v>
      </c>
      <c r="C639">
        <v>123</v>
      </c>
      <c r="D639" t="s">
        <v>28</v>
      </c>
      <c r="E639" s="1">
        <v>45226</v>
      </c>
      <c r="J639">
        <v>44</v>
      </c>
      <c r="K639">
        <v>23</v>
      </c>
    </row>
    <row r="640" spans="1:11" x14ac:dyDescent="0.3">
      <c r="A640" t="s">
        <v>1772</v>
      </c>
      <c r="B640" t="s">
        <v>1773</v>
      </c>
      <c r="C640">
        <v>122</v>
      </c>
      <c r="D640" t="s">
        <v>28</v>
      </c>
      <c r="E640" s="1">
        <v>45429</v>
      </c>
      <c r="J640">
        <v>43</v>
      </c>
      <c r="K640">
        <v>35</v>
      </c>
    </row>
    <row r="641" spans="1:11" x14ac:dyDescent="0.3">
      <c r="A641" t="s">
        <v>1354</v>
      </c>
      <c r="B641" t="s">
        <v>1355</v>
      </c>
      <c r="C641">
        <v>118</v>
      </c>
      <c r="D641" t="s">
        <v>28</v>
      </c>
      <c r="E641" s="1">
        <v>45476</v>
      </c>
      <c r="J641">
        <v>53</v>
      </c>
      <c r="K641">
        <v>63</v>
      </c>
    </row>
    <row r="642" spans="1:11" x14ac:dyDescent="0.3">
      <c r="A642" t="s">
        <v>282</v>
      </c>
      <c r="B642" t="s">
        <v>283</v>
      </c>
      <c r="C642">
        <v>98</v>
      </c>
      <c r="D642" t="s">
        <v>28</v>
      </c>
      <c r="E642" s="1">
        <v>45492</v>
      </c>
      <c r="J642">
        <v>78</v>
      </c>
      <c r="K642">
        <v>96</v>
      </c>
    </row>
    <row r="643" spans="1:11" x14ac:dyDescent="0.3">
      <c r="A643" t="s">
        <v>1748</v>
      </c>
      <c r="B643" t="s">
        <v>1749</v>
      </c>
      <c r="C643">
        <v>102</v>
      </c>
      <c r="D643" t="s">
        <v>15</v>
      </c>
      <c r="E643" s="1">
        <v>44799</v>
      </c>
      <c r="J643">
        <v>45</v>
      </c>
      <c r="K643">
        <v>38</v>
      </c>
    </row>
    <row r="644" spans="1:11" x14ac:dyDescent="0.3">
      <c r="A644" t="s">
        <v>450</v>
      </c>
      <c r="B644" t="s">
        <v>451</v>
      </c>
      <c r="C644">
        <v>98</v>
      </c>
      <c r="D644" t="s">
        <v>15</v>
      </c>
      <c r="E644" s="1">
        <v>45604</v>
      </c>
      <c r="J644">
        <v>82</v>
      </c>
      <c r="K644">
        <v>93</v>
      </c>
    </row>
    <row r="645" spans="1:11" x14ac:dyDescent="0.3">
      <c r="A645" t="s">
        <v>1853</v>
      </c>
      <c r="B645" t="s">
        <v>1854</v>
      </c>
      <c r="C645">
        <v>110</v>
      </c>
      <c r="D645" t="s">
        <v>15</v>
      </c>
      <c r="E645" s="1">
        <v>45047</v>
      </c>
      <c r="J645">
        <v>37</v>
      </c>
      <c r="K645">
        <v>29</v>
      </c>
    </row>
    <row r="646" spans="1:11" x14ac:dyDescent="0.3">
      <c r="A646" t="s">
        <v>404</v>
      </c>
      <c r="B646" t="s">
        <v>405</v>
      </c>
      <c r="C646">
        <v>84</v>
      </c>
      <c r="D646" t="s">
        <v>18</v>
      </c>
      <c r="E646" s="1">
        <v>45163</v>
      </c>
      <c r="J646">
        <v>74</v>
      </c>
      <c r="K646">
        <v>94</v>
      </c>
    </row>
    <row r="647" spans="1:11" x14ac:dyDescent="0.3">
      <c r="A647" t="s">
        <v>840</v>
      </c>
      <c r="B647" t="s">
        <v>841</v>
      </c>
      <c r="C647">
        <v>105</v>
      </c>
      <c r="D647" t="s">
        <v>28</v>
      </c>
      <c r="E647" s="1">
        <v>45198</v>
      </c>
      <c r="J647">
        <v>66</v>
      </c>
      <c r="K647">
        <v>84</v>
      </c>
    </row>
    <row r="648" spans="1:11" x14ac:dyDescent="0.3">
      <c r="A648" t="s">
        <v>685</v>
      </c>
      <c r="B648" t="s">
        <v>686</v>
      </c>
      <c r="C648">
        <v>115</v>
      </c>
      <c r="D648" t="s">
        <v>28</v>
      </c>
      <c r="E648" s="1">
        <v>44834</v>
      </c>
      <c r="J648">
        <v>72</v>
      </c>
      <c r="K648">
        <v>88</v>
      </c>
    </row>
    <row r="649" spans="1:11" x14ac:dyDescent="0.3">
      <c r="A649" t="s">
        <v>757</v>
      </c>
      <c r="B649" t="s">
        <v>758</v>
      </c>
      <c r="C649">
        <v>126</v>
      </c>
      <c r="D649" t="s">
        <v>28</v>
      </c>
      <c r="E649" s="1">
        <v>44897</v>
      </c>
      <c r="J649">
        <v>67</v>
      </c>
      <c r="K649">
        <v>86</v>
      </c>
    </row>
    <row r="650" spans="1:11" x14ac:dyDescent="0.3">
      <c r="A650" t="s">
        <v>1966</v>
      </c>
      <c r="B650" t="s">
        <v>1967</v>
      </c>
      <c r="C650">
        <v>118</v>
      </c>
      <c r="D650" t="s">
        <v>15</v>
      </c>
      <c r="E650" s="1">
        <v>45436</v>
      </c>
      <c r="J650">
        <v>37</v>
      </c>
      <c r="K650">
        <v>18</v>
      </c>
    </row>
    <row r="651" spans="1:11" x14ac:dyDescent="0.3">
      <c r="A651" t="s">
        <v>863</v>
      </c>
      <c r="B651" t="s">
        <v>864</v>
      </c>
      <c r="C651">
        <v>109</v>
      </c>
      <c r="D651" t="s">
        <v>28</v>
      </c>
      <c r="E651" s="1">
        <v>45401</v>
      </c>
      <c r="J651">
        <v>62</v>
      </c>
      <c r="K651">
        <v>83</v>
      </c>
    </row>
    <row r="652" spans="1:11" x14ac:dyDescent="0.3">
      <c r="A652" t="s">
        <v>1635</v>
      </c>
      <c r="B652" t="s">
        <v>1636</v>
      </c>
      <c r="C652">
        <v>134</v>
      </c>
      <c r="D652" t="s">
        <v>28</v>
      </c>
      <c r="E652" s="1">
        <v>45198</v>
      </c>
      <c r="J652">
        <v>52</v>
      </c>
      <c r="K652">
        <v>44</v>
      </c>
    </row>
    <row r="653" spans="1:11" x14ac:dyDescent="0.3">
      <c r="A653" t="s">
        <v>1002</v>
      </c>
      <c r="B653" t="s">
        <v>1003</v>
      </c>
      <c r="C653">
        <v>116</v>
      </c>
      <c r="D653" t="s">
        <v>28</v>
      </c>
      <c r="E653" s="1">
        <v>45464</v>
      </c>
      <c r="J653">
        <v>70</v>
      </c>
      <c r="K653">
        <v>79</v>
      </c>
    </row>
    <row r="654" spans="1:11" x14ac:dyDescent="0.3">
      <c r="A654" t="s">
        <v>484</v>
      </c>
      <c r="B654" t="s">
        <v>485</v>
      </c>
      <c r="C654">
        <v>97</v>
      </c>
      <c r="D654" t="s">
        <v>28</v>
      </c>
      <c r="E654" s="1">
        <v>44785</v>
      </c>
      <c r="J654">
        <v>75</v>
      </c>
      <c r="K654">
        <v>93</v>
      </c>
    </row>
    <row r="655" spans="1:11" x14ac:dyDescent="0.3">
      <c r="A655" t="s">
        <v>1166</v>
      </c>
      <c r="B655" t="s">
        <v>1167</v>
      </c>
      <c r="C655">
        <v>93</v>
      </c>
      <c r="D655" t="s">
        <v>12</v>
      </c>
      <c r="E655" s="1">
        <v>44911</v>
      </c>
      <c r="J655">
        <v>53</v>
      </c>
      <c r="K655">
        <v>73</v>
      </c>
    </row>
    <row r="656" spans="1:11" x14ac:dyDescent="0.3">
      <c r="A656" t="s">
        <v>873</v>
      </c>
      <c r="B656" t="s">
        <v>874</v>
      </c>
      <c r="C656">
        <v>93</v>
      </c>
      <c r="D656" t="s">
        <v>15</v>
      </c>
      <c r="E656" s="1">
        <v>45191</v>
      </c>
      <c r="J656">
        <v>60</v>
      </c>
      <c r="K656">
        <v>83</v>
      </c>
    </row>
    <row r="657" spans="1:11" x14ac:dyDescent="0.3">
      <c r="A657" t="s">
        <v>1108</v>
      </c>
      <c r="B657" t="s">
        <v>1109</v>
      </c>
      <c r="C657">
        <v>102</v>
      </c>
      <c r="D657" t="s">
        <v>28</v>
      </c>
      <c r="E657" s="1">
        <v>45527</v>
      </c>
      <c r="J657">
        <v>66</v>
      </c>
      <c r="K657">
        <v>75</v>
      </c>
    </row>
    <row r="658" spans="1:11" x14ac:dyDescent="0.3">
      <c r="A658" t="s">
        <v>368</v>
      </c>
      <c r="B658" t="s">
        <v>369</v>
      </c>
      <c r="C658">
        <v>81</v>
      </c>
      <c r="D658" t="s">
        <v>12</v>
      </c>
      <c r="E658" s="1">
        <v>44838</v>
      </c>
      <c r="J658">
        <v>78</v>
      </c>
      <c r="K658">
        <v>95</v>
      </c>
    </row>
    <row r="659" spans="1:11" x14ac:dyDescent="0.3">
      <c r="A659" t="s">
        <v>1038</v>
      </c>
      <c r="B659" t="s">
        <v>1039</v>
      </c>
      <c r="C659">
        <v>109</v>
      </c>
      <c r="D659" t="s">
        <v>28</v>
      </c>
      <c r="E659" s="1">
        <v>45576</v>
      </c>
      <c r="J659">
        <v>60</v>
      </c>
      <c r="K659">
        <v>77</v>
      </c>
    </row>
    <row r="660" spans="1:11" x14ac:dyDescent="0.3">
      <c r="A660" t="s">
        <v>1514</v>
      </c>
      <c r="B660" t="s">
        <v>1515</v>
      </c>
      <c r="C660">
        <v>134</v>
      </c>
      <c r="D660" t="s">
        <v>25</v>
      </c>
      <c r="E660" s="1">
        <v>44820</v>
      </c>
      <c r="J660">
        <v>42</v>
      </c>
      <c r="K660">
        <v>54</v>
      </c>
    </row>
    <row r="661" spans="1:11" x14ac:dyDescent="0.3">
      <c r="A661" t="s">
        <v>134</v>
      </c>
      <c r="B661" t="s">
        <v>135</v>
      </c>
      <c r="C661">
        <v>119</v>
      </c>
      <c r="D661" t="s">
        <v>12</v>
      </c>
      <c r="E661" s="1">
        <v>44883</v>
      </c>
      <c r="J661">
        <v>50</v>
      </c>
      <c r="K661">
        <v>38</v>
      </c>
    </row>
    <row r="662" spans="1:11" x14ac:dyDescent="0.3">
      <c r="A662" t="s">
        <v>956</v>
      </c>
      <c r="B662" t="s">
        <v>957</v>
      </c>
      <c r="C662">
        <v>99</v>
      </c>
      <c r="D662" t="s">
        <v>28</v>
      </c>
      <c r="E662" s="1">
        <v>45105</v>
      </c>
      <c r="J662">
        <v>55</v>
      </c>
      <c r="K662">
        <v>81</v>
      </c>
    </row>
    <row r="663" spans="1:11" x14ac:dyDescent="0.3">
      <c r="A663" t="s">
        <v>1579</v>
      </c>
      <c r="B663" t="s">
        <v>1580</v>
      </c>
      <c r="C663">
        <v>137</v>
      </c>
      <c r="D663" t="s">
        <v>28</v>
      </c>
      <c r="E663" s="1">
        <v>45589</v>
      </c>
      <c r="J663">
        <v>52</v>
      </c>
      <c r="K663">
        <v>47</v>
      </c>
    </row>
    <row r="664" spans="1:11" x14ac:dyDescent="0.3">
      <c r="A664" t="s">
        <v>1252</v>
      </c>
      <c r="B664" t="s">
        <v>1253</v>
      </c>
      <c r="C664">
        <v>113</v>
      </c>
      <c r="D664" t="s">
        <v>28</v>
      </c>
      <c r="E664" s="1">
        <v>44869</v>
      </c>
      <c r="J664">
        <v>59</v>
      </c>
      <c r="K664">
        <v>69</v>
      </c>
    </row>
    <row r="665" spans="1:11" x14ac:dyDescent="0.3">
      <c r="A665" t="s">
        <v>707</v>
      </c>
      <c r="B665" t="s">
        <v>708</v>
      </c>
      <c r="C665">
        <v>138</v>
      </c>
      <c r="D665" t="s">
        <v>18</v>
      </c>
      <c r="E665" s="1">
        <v>44840</v>
      </c>
      <c r="J665">
        <v>59</v>
      </c>
      <c r="K665">
        <v>87</v>
      </c>
    </row>
    <row r="666" spans="1:11" x14ac:dyDescent="0.3">
      <c r="A666" t="s">
        <v>108</v>
      </c>
      <c r="B666" t="s">
        <v>109</v>
      </c>
      <c r="C666">
        <v>120</v>
      </c>
      <c r="D666" t="s">
        <v>28</v>
      </c>
      <c r="E666" s="1">
        <v>45750</v>
      </c>
      <c r="J666">
        <v>60</v>
      </c>
      <c r="K666">
        <v>58</v>
      </c>
    </row>
    <row r="667" spans="1:11" x14ac:dyDescent="0.3">
      <c r="A667" t="s">
        <v>1186</v>
      </c>
      <c r="B667" t="s">
        <v>1187</v>
      </c>
      <c r="C667">
        <v>87</v>
      </c>
      <c r="D667" t="s">
        <v>12</v>
      </c>
      <c r="E667" s="1">
        <v>44904</v>
      </c>
      <c r="J667">
        <v>46</v>
      </c>
      <c r="K667">
        <v>72</v>
      </c>
    </row>
    <row r="668" spans="1:11" x14ac:dyDescent="0.3">
      <c r="A668" t="s">
        <v>537</v>
      </c>
      <c r="B668" t="s">
        <v>538</v>
      </c>
      <c r="C668">
        <v>99</v>
      </c>
      <c r="D668" t="s">
        <v>28</v>
      </c>
      <c r="E668" s="1">
        <v>45583</v>
      </c>
      <c r="J668">
        <v>71</v>
      </c>
      <c r="K668">
        <v>91</v>
      </c>
    </row>
    <row r="669" spans="1:11" x14ac:dyDescent="0.3">
      <c r="A669" t="s">
        <v>970</v>
      </c>
      <c r="B669" t="s">
        <v>971</v>
      </c>
      <c r="C669">
        <v>90</v>
      </c>
      <c r="D669" t="s">
        <v>28</v>
      </c>
      <c r="E669" s="1">
        <v>45612</v>
      </c>
      <c r="J669">
        <v>65</v>
      </c>
      <c r="K669">
        <v>80</v>
      </c>
    </row>
    <row r="670" spans="1:11" x14ac:dyDescent="0.3">
      <c r="A670" t="s">
        <v>35</v>
      </c>
      <c r="B670" t="s">
        <v>36</v>
      </c>
      <c r="C670">
        <v>95</v>
      </c>
      <c r="D670" t="s">
        <v>18</v>
      </c>
      <c r="E670" s="1">
        <v>44624</v>
      </c>
      <c r="J670">
        <v>75</v>
      </c>
      <c r="K670">
        <v>94</v>
      </c>
    </row>
    <row r="671" spans="1:11" x14ac:dyDescent="0.3">
      <c r="A671" t="s">
        <v>250</v>
      </c>
      <c r="B671" t="s">
        <v>251</v>
      </c>
      <c r="C671">
        <v>117</v>
      </c>
      <c r="D671" t="s">
        <v>15</v>
      </c>
      <c r="E671" s="1">
        <v>45204</v>
      </c>
      <c r="J671">
        <v>76</v>
      </c>
      <c r="K671">
        <v>97</v>
      </c>
    </row>
    <row r="672" spans="1:11" x14ac:dyDescent="0.3">
      <c r="A672" t="s">
        <v>466</v>
      </c>
      <c r="B672" t="s">
        <v>467</v>
      </c>
      <c r="C672">
        <v>93</v>
      </c>
      <c r="D672" t="s">
        <v>12</v>
      </c>
      <c r="E672" s="1">
        <v>45210</v>
      </c>
      <c r="J672">
        <v>76</v>
      </c>
      <c r="K672">
        <v>93</v>
      </c>
    </row>
    <row r="673" spans="1:11" x14ac:dyDescent="0.3">
      <c r="A673" t="s">
        <v>384</v>
      </c>
      <c r="B673" t="s">
        <v>385</v>
      </c>
      <c r="C673">
        <v>107</v>
      </c>
      <c r="D673" t="s">
        <v>28</v>
      </c>
      <c r="E673" s="1">
        <v>45450</v>
      </c>
      <c r="J673">
        <v>80</v>
      </c>
      <c r="K673">
        <v>94</v>
      </c>
    </row>
    <row r="674" spans="1:11" x14ac:dyDescent="0.3">
      <c r="A674" t="s">
        <v>178</v>
      </c>
      <c r="B674" t="s">
        <v>179</v>
      </c>
      <c r="C674">
        <v>113</v>
      </c>
      <c r="D674" t="s">
        <v>15</v>
      </c>
      <c r="E674" s="1">
        <v>45205</v>
      </c>
      <c r="J674">
        <v>72</v>
      </c>
      <c r="K674">
        <v>100</v>
      </c>
    </row>
    <row r="675" spans="1:11" x14ac:dyDescent="0.3">
      <c r="A675" t="s">
        <v>192</v>
      </c>
      <c r="B675" t="s">
        <v>193</v>
      </c>
      <c r="C675">
        <v>73</v>
      </c>
      <c r="D675" t="s">
        <v>28</v>
      </c>
      <c r="E675" s="1">
        <v>45135</v>
      </c>
      <c r="J675">
        <v>79</v>
      </c>
      <c r="K675">
        <v>99</v>
      </c>
    </row>
    <row r="676" spans="1:11" x14ac:dyDescent="0.3">
      <c r="A676" t="s">
        <v>408</v>
      </c>
      <c r="B676" t="s">
        <v>409</v>
      </c>
      <c r="C676">
        <v>101</v>
      </c>
      <c r="D676" t="s">
        <v>63</v>
      </c>
      <c r="E676" s="1">
        <v>45050</v>
      </c>
      <c r="J676">
        <v>81</v>
      </c>
      <c r="K676">
        <v>94</v>
      </c>
    </row>
    <row r="677" spans="1:11" x14ac:dyDescent="0.3">
      <c r="A677" t="s">
        <v>1548</v>
      </c>
      <c r="B677" t="s">
        <v>1549</v>
      </c>
      <c r="C677">
        <v>107</v>
      </c>
      <c r="D677" t="s">
        <v>28</v>
      </c>
      <c r="E677" s="1">
        <v>45352</v>
      </c>
      <c r="J677">
        <v>55</v>
      </c>
      <c r="K677">
        <v>50</v>
      </c>
    </row>
    <row r="678" spans="1:11" x14ac:dyDescent="0.3">
      <c r="A678" t="s">
        <v>1296</v>
      </c>
      <c r="B678" t="s">
        <v>1297</v>
      </c>
      <c r="C678">
        <v>179</v>
      </c>
      <c r="D678" t="s">
        <v>28</v>
      </c>
      <c r="E678" s="1">
        <v>45037</v>
      </c>
      <c r="J678">
        <v>63</v>
      </c>
      <c r="K678">
        <v>67</v>
      </c>
    </row>
    <row r="679" spans="1:11" x14ac:dyDescent="0.3">
      <c r="A679" t="s">
        <v>806</v>
      </c>
      <c r="B679" t="s">
        <v>807</v>
      </c>
      <c r="C679">
        <v>108</v>
      </c>
      <c r="D679" t="s">
        <v>90</v>
      </c>
      <c r="E679" s="1">
        <v>44869</v>
      </c>
      <c r="J679">
        <v>70</v>
      </c>
      <c r="K679">
        <v>85</v>
      </c>
    </row>
    <row r="680" spans="1:11" x14ac:dyDescent="0.3">
      <c r="A680" t="s">
        <v>1308</v>
      </c>
      <c r="B680" t="s">
        <v>1309</v>
      </c>
      <c r="C680">
        <v>133</v>
      </c>
      <c r="D680" t="s">
        <v>15</v>
      </c>
      <c r="E680" s="1">
        <v>45618</v>
      </c>
      <c r="J680">
        <v>43</v>
      </c>
      <c r="K680">
        <v>66</v>
      </c>
    </row>
    <row r="681" spans="1:11" x14ac:dyDescent="0.3">
      <c r="A681" t="s">
        <v>798</v>
      </c>
      <c r="B681" t="s">
        <v>799</v>
      </c>
      <c r="C681">
        <v>103</v>
      </c>
      <c r="D681" t="s">
        <v>25</v>
      </c>
      <c r="E681" s="1">
        <v>45058</v>
      </c>
      <c r="J681">
        <v>68</v>
      </c>
      <c r="K681">
        <v>85</v>
      </c>
    </row>
    <row r="682" spans="1:11" x14ac:dyDescent="0.3">
      <c r="A682" t="s">
        <v>1434</v>
      </c>
      <c r="B682" t="s">
        <v>1435</v>
      </c>
      <c r="C682">
        <v>111</v>
      </c>
      <c r="D682" t="s">
        <v>28</v>
      </c>
      <c r="E682" s="1">
        <v>45408</v>
      </c>
      <c r="J682">
        <v>47</v>
      </c>
      <c r="K682">
        <v>58</v>
      </c>
    </row>
    <row r="683" spans="1:11" x14ac:dyDescent="0.3">
      <c r="A683" t="s">
        <v>1146</v>
      </c>
      <c r="B683" t="s">
        <v>1147</v>
      </c>
      <c r="C683">
        <v>140</v>
      </c>
      <c r="D683" t="s">
        <v>15</v>
      </c>
      <c r="E683" s="1">
        <v>45723</v>
      </c>
      <c r="J683">
        <v>65</v>
      </c>
      <c r="K683">
        <v>73</v>
      </c>
    </row>
    <row r="684" spans="1:11" x14ac:dyDescent="0.3">
      <c r="A684" t="s">
        <v>614</v>
      </c>
      <c r="B684" t="s">
        <v>615</v>
      </c>
      <c r="C684">
        <v>106</v>
      </c>
      <c r="D684" t="s">
        <v>28</v>
      </c>
      <c r="E684" s="1">
        <v>45744</v>
      </c>
      <c r="J684">
        <v>63</v>
      </c>
      <c r="K684">
        <v>89</v>
      </c>
    </row>
    <row r="685" spans="1:11" x14ac:dyDescent="0.3">
      <c r="A685" t="s">
        <v>838</v>
      </c>
      <c r="B685" t="s">
        <v>839</v>
      </c>
      <c r="C685">
        <v>113</v>
      </c>
      <c r="D685" t="s">
        <v>28</v>
      </c>
      <c r="E685" s="1">
        <v>45233</v>
      </c>
      <c r="J685">
        <v>79</v>
      </c>
      <c r="K685">
        <v>84</v>
      </c>
    </row>
    <row r="686" spans="1:11" x14ac:dyDescent="0.3">
      <c r="A686" t="s">
        <v>1424</v>
      </c>
      <c r="B686" t="s">
        <v>1425</v>
      </c>
      <c r="C686">
        <v>124</v>
      </c>
      <c r="D686" t="s">
        <v>15</v>
      </c>
      <c r="E686" s="1">
        <v>44995</v>
      </c>
      <c r="J686">
        <v>50</v>
      </c>
      <c r="K686">
        <v>59</v>
      </c>
    </row>
    <row r="687" spans="1:11" x14ac:dyDescent="0.3">
      <c r="A687" t="s">
        <v>1825</v>
      </c>
      <c r="B687" t="s">
        <v>1826</v>
      </c>
      <c r="C687">
        <v>122</v>
      </c>
      <c r="D687" t="s">
        <v>15</v>
      </c>
      <c r="E687" s="1">
        <v>45149</v>
      </c>
      <c r="J687">
        <v>44</v>
      </c>
      <c r="K687">
        <v>31</v>
      </c>
    </row>
    <row r="688" spans="1:11" x14ac:dyDescent="0.3">
      <c r="A688" t="s">
        <v>1863</v>
      </c>
      <c r="B688" t="s">
        <v>792</v>
      </c>
      <c r="C688">
        <v>114</v>
      </c>
      <c r="D688" t="s">
        <v>28</v>
      </c>
      <c r="E688" s="1">
        <v>44680</v>
      </c>
      <c r="J688">
        <v>41</v>
      </c>
      <c r="K688">
        <v>29</v>
      </c>
    </row>
    <row r="689" spans="1:11" x14ac:dyDescent="0.3">
      <c r="A689" t="s">
        <v>1206</v>
      </c>
      <c r="B689" t="s">
        <v>1207</v>
      </c>
      <c r="C689">
        <v>87</v>
      </c>
      <c r="D689" t="s">
        <v>160</v>
      </c>
      <c r="E689" s="1">
        <v>45723</v>
      </c>
      <c r="J689">
        <v>61</v>
      </c>
      <c r="K689">
        <v>71</v>
      </c>
    </row>
    <row r="690" spans="1:11" x14ac:dyDescent="0.3">
      <c r="A690" t="s">
        <v>1845</v>
      </c>
      <c r="B690" t="s">
        <v>1846</v>
      </c>
      <c r="C690">
        <v>104</v>
      </c>
      <c r="D690" t="s">
        <v>15</v>
      </c>
      <c r="E690" s="1">
        <v>45051</v>
      </c>
      <c r="J690">
        <v>32</v>
      </c>
      <c r="K690">
        <v>30</v>
      </c>
    </row>
    <row r="691" spans="1:11" x14ac:dyDescent="0.3">
      <c r="A691" t="s">
        <v>1855</v>
      </c>
      <c r="B691" t="s">
        <v>1856</v>
      </c>
      <c r="C691">
        <v>123</v>
      </c>
      <c r="D691" t="s">
        <v>15</v>
      </c>
      <c r="E691" s="1">
        <v>44946</v>
      </c>
      <c r="J691">
        <v>45</v>
      </c>
      <c r="K691">
        <v>29</v>
      </c>
    </row>
    <row r="692" spans="1:11" x14ac:dyDescent="0.3">
      <c r="A692" t="s">
        <v>1454</v>
      </c>
      <c r="B692" t="s">
        <v>1455</v>
      </c>
      <c r="C692">
        <v>113</v>
      </c>
      <c r="D692" t="s">
        <v>28</v>
      </c>
      <c r="E692" s="1">
        <v>44785</v>
      </c>
      <c r="J692">
        <v>51</v>
      </c>
      <c r="K692">
        <v>57</v>
      </c>
    </row>
    <row r="693" spans="1:11" x14ac:dyDescent="0.3">
      <c r="A693" t="s">
        <v>974</v>
      </c>
      <c r="B693" t="s">
        <v>975</v>
      </c>
      <c r="C693">
        <v>107</v>
      </c>
      <c r="D693" t="s">
        <v>15</v>
      </c>
      <c r="E693" s="1">
        <v>45583</v>
      </c>
      <c r="J693">
        <v>70</v>
      </c>
      <c r="K693">
        <v>80</v>
      </c>
    </row>
    <row r="694" spans="1:11" x14ac:dyDescent="0.3">
      <c r="A694" t="s">
        <v>118</v>
      </c>
      <c r="B694" t="s">
        <v>119</v>
      </c>
      <c r="C694">
        <v>118</v>
      </c>
      <c r="D694" t="s">
        <v>28</v>
      </c>
      <c r="E694" s="1">
        <v>45149</v>
      </c>
      <c r="J694">
        <v>52</v>
      </c>
      <c r="K694">
        <v>50</v>
      </c>
    </row>
    <row r="695" spans="1:11" x14ac:dyDescent="0.3">
      <c r="A695" t="s">
        <v>1110</v>
      </c>
      <c r="B695" t="s">
        <v>1111</v>
      </c>
      <c r="C695">
        <v>120</v>
      </c>
      <c r="D695" t="s">
        <v>28</v>
      </c>
      <c r="E695" s="1">
        <v>45520</v>
      </c>
      <c r="J695">
        <v>61</v>
      </c>
      <c r="K695">
        <v>75</v>
      </c>
    </row>
    <row r="696" spans="1:11" x14ac:dyDescent="0.3">
      <c r="A696" t="s">
        <v>1627</v>
      </c>
      <c r="B696" t="s">
        <v>1628</v>
      </c>
      <c r="C696">
        <v>119</v>
      </c>
      <c r="D696" t="s">
        <v>28</v>
      </c>
      <c r="E696" s="1">
        <v>45072</v>
      </c>
      <c r="J696">
        <v>52</v>
      </c>
      <c r="K696">
        <v>45</v>
      </c>
    </row>
    <row r="697" spans="1:11" x14ac:dyDescent="0.3">
      <c r="A697" t="s">
        <v>592</v>
      </c>
      <c r="B697" t="s">
        <v>593</v>
      </c>
      <c r="C697">
        <v>108</v>
      </c>
      <c r="D697" t="s">
        <v>15</v>
      </c>
      <c r="E697" s="1">
        <v>45401</v>
      </c>
      <c r="J697">
        <v>70</v>
      </c>
      <c r="K697">
        <v>90</v>
      </c>
    </row>
    <row r="698" spans="1:11" x14ac:dyDescent="0.3">
      <c r="A698" t="s">
        <v>276</v>
      </c>
      <c r="B698" t="s">
        <v>277</v>
      </c>
      <c r="C698">
        <v>90</v>
      </c>
      <c r="D698" t="s">
        <v>28</v>
      </c>
      <c r="E698" s="1">
        <v>45597</v>
      </c>
      <c r="J698">
        <v>85</v>
      </c>
      <c r="K698">
        <v>96</v>
      </c>
    </row>
    <row r="699" spans="1:11" x14ac:dyDescent="0.3">
      <c r="A699" t="s">
        <v>392</v>
      </c>
      <c r="B699" t="s">
        <v>393</v>
      </c>
      <c r="C699">
        <v>97</v>
      </c>
      <c r="D699" t="s">
        <v>18</v>
      </c>
      <c r="E699" s="1">
        <v>45380</v>
      </c>
      <c r="J699">
        <v>80</v>
      </c>
      <c r="K699">
        <v>94</v>
      </c>
    </row>
    <row r="700" spans="1:11" x14ac:dyDescent="0.3">
      <c r="A700" t="s">
        <v>1456</v>
      </c>
      <c r="B700" t="s">
        <v>1457</v>
      </c>
      <c r="C700">
        <v>102</v>
      </c>
      <c r="D700" t="s">
        <v>63</v>
      </c>
      <c r="E700" s="1">
        <v>44622</v>
      </c>
      <c r="J700">
        <v>49</v>
      </c>
      <c r="K700">
        <v>57</v>
      </c>
    </row>
    <row r="701" spans="1:11" x14ac:dyDescent="0.3">
      <c r="A701" t="s">
        <v>711</v>
      </c>
      <c r="B701" t="s">
        <v>712</v>
      </c>
      <c r="C701">
        <v>142</v>
      </c>
      <c r="D701" t="s">
        <v>18</v>
      </c>
      <c r="E701" s="1">
        <v>44762</v>
      </c>
      <c r="J701">
        <v>54</v>
      </c>
      <c r="K701">
        <v>87</v>
      </c>
    </row>
    <row r="702" spans="1:11" x14ac:dyDescent="0.3">
      <c r="A702" t="s">
        <v>584</v>
      </c>
      <c r="B702" t="s">
        <v>585</v>
      </c>
      <c r="C702">
        <v>89</v>
      </c>
      <c r="D702" t="s">
        <v>28</v>
      </c>
      <c r="E702" s="1">
        <v>45562</v>
      </c>
      <c r="J702">
        <v>74</v>
      </c>
      <c r="K702">
        <v>90</v>
      </c>
    </row>
    <row r="703" spans="1:11" x14ac:dyDescent="0.3">
      <c r="A703" t="s">
        <v>1018</v>
      </c>
      <c r="B703" t="s">
        <v>1019</v>
      </c>
      <c r="C703">
        <v>125</v>
      </c>
      <c r="D703" t="s">
        <v>18</v>
      </c>
      <c r="E703" s="1">
        <v>45576</v>
      </c>
      <c r="J703">
        <v>62</v>
      </c>
      <c r="K703">
        <v>78</v>
      </c>
    </row>
    <row r="704" spans="1:11" x14ac:dyDescent="0.3">
      <c r="A704" t="s">
        <v>1516</v>
      </c>
      <c r="B704" t="s">
        <v>1517</v>
      </c>
      <c r="C704">
        <v>103</v>
      </c>
      <c r="D704" t="s">
        <v>28</v>
      </c>
      <c r="E704" s="1">
        <v>45282</v>
      </c>
      <c r="J704">
        <v>52</v>
      </c>
      <c r="K704">
        <v>53</v>
      </c>
    </row>
    <row r="705" spans="1:11" x14ac:dyDescent="0.3">
      <c r="A705" t="s">
        <v>794</v>
      </c>
      <c r="B705" t="s">
        <v>795</v>
      </c>
      <c r="C705">
        <v>106</v>
      </c>
      <c r="D705" t="s">
        <v>28</v>
      </c>
      <c r="E705" s="1">
        <v>45205</v>
      </c>
      <c r="J705">
        <v>62</v>
      </c>
      <c r="K705">
        <v>85</v>
      </c>
    </row>
    <row r="706" spans="1:11" x14ac:dyDescent="0.3">
      <c r="A706" t="s">
        <v>37</v>
      </c>
      <c r="B706" t="s">
        <v>38</v>
      </c>
      <c r="C706">
        <v>117</v>
      </c>
      <c r="D706" t="s">
        <v>12</v>
      </c>
      <c r="E706" s="1">
        <v>44920</v>
      </c>
      <c r="J706">
        <v>72</v>
      </c>
      <c r="K706">
        <v>93</v>
      </c>
    </row>
    <row r="707" spans="1:11" x14ac:dyDescent="0.3">
      <c r="A707" t="s">
        <v>340</v>
      </c>
      <c r="B707" t="s">
        <v>341</v>
      </c>
      <c r="C707">
        <v>115</v>
      </c>
      <c r="D707" t="s">
        <v>28</v>
      </c>
      <c r="E707" s="1">
        <v>45450</v>
      </c>
      <c r="J707">
        <v>82</v>
      </c>
      <c r="K707">
        <v>95</v>
      </c>
    </row>
    <row r="708" spans="1:11" x14ac:dyDescent="0.3">
      <c r="A708" t="s">
        <v>936</v>
      </c>
      <c r="B708" t="s">
        <v>937</v>
      </c>
      <c r="C708">
        <v>110</v>
      </c>
      <c r="D708" t="s">
        <v>28</v>
      </c>
      <c r="E708" s="1">
        <v>45730</v>
      </c>
      <c r="J708">
        <v>60</v>
      </c>
      <c r="K708">
        <v>81</v>
      </c>
    </row>
    <row r="709" spans="1:11" x14ac:dyDescent="0.3">
      <c r="A709" t="s">
        <v>904</v>
      </c>
      <c r="B709" t="s">
        <v>905</v>
      </c>
      <c r="C709">
        <v>94</v>
      </c>
      <c r="D709" t="s">
        <v>15</v>
      </c>
      <c r="E709" s="1">
        <v>45363</v>
      </c>
      <c r="J709">
        <v>68</v>
      </c>
      <c r="K709">
        <v>82</v>
      </c>
    </row>
    <row r="710" spans="1:11" x14ac:dyDescent="0.3">
      <c r="A710" t="s">
        <v>814</v>
      </c>
      <c r="B710" t="s">
        <v>815</v>
      </c>
      <c r="C710">
        <v>94</v>
      </c>
      <c r="D710" t="s">
        <v>28</v>
      </c>
      <c r="E710" s="1">
        <v>44743</v>
      </c>
      <c r="J710">
        <v>43</v>
      </c>
      <c r="K710">
        <v>85</v>
      </c>
    </row>
    <row r="711" spans="1:11" x14ac:dyDescent="0.3">
      <c r="A711" t="s">
        <v>1766</v>
      </c>
      <c r="B711" t="s">
        <v>1767</v>
      </c>
      <c r="C711">
        <v>105</v>
      </c>
      <c r="D711" t="s">
        <v>632</v>
      </c>
      <c r="E711" s="1">
        <v>44617</v>
      </c>
      <c r="J711">
        <v>42</v>
      </c>
      <c r="K711">
        <v>36</v>
      </c>
    </row>
    <row r="712" spans="1:11" x14ac:dyDescent="0.3">
      <c r="A712" t="s">
        <v>438</v>
      </c>
      <c r="B712" t="s">
        <v>439</v>
      </c>
      <c r="C712">
        <v>95</v>
      </c>
      <c r="D712" t="s">
        <v>25</v>
      </c>
      <c r="E712" s="1">
        <v>45693</v>
      </c>
      <c r="J712">
        <v>83</v>
      </c>
      <c r="K712">
        <v>93</v>
      </c>
    </row>
    <row r="713" spans="1:11" x14ac:dyDescent="0.3">
      <c r="A713" t="s">
        <v>547</v>
      </c>
      <c r="B713" t="s">
        <v>548</v>
      </c>
      <c r="C713">
        <v>91</v>
      </c>
      <c r="D713" t="s">
        <v>28</v>
      </c>
      <c r="E713" s="1">
        <v>45336</v>
      </c>
      <c r="J713">
        <v>74</v>
      </c>
      <c r="K713">
        <v>91</v>
      </c>
    </row>
    <row r="714" spans="1:11" x14ac:dyDescent="0.3">
      <c r="A714" t="s">
        <v>1280</v>
      </c>
      <c r="B714" t="s">
        <v>1281</v>
      </c>
      <c r="C714">
        <v>131</v>
      </c>
      <c r="D714" t="s">
        <v>18</v>
      </c>
      <c r="E714" s="1">
        <v>44897</v>
      </c>
      <c r="J714">
        <v>55</v>
      </c>
      <c r="K714">
        <v>68</v>
      </c>
    </row>
    <row r="715" spans="1:11" x14ac:dyDescent="0.3">
      <c r="A715" t="s">
        <v>769</v>
      </c>
      <c r="B715" t="s">
        <v>770</v>
      </c>
      <c r="C715">
        <v>106</v>
      </c>
      <c r="D715" t="s">
        <v>15</v>
      </c>
      <c r="E715" s="1">
        <v>44638</v>
      </c>
      <c r="J715">
        <v>65</v>
      </c>
      <c r="K715">
        <v>86</v>
      </c>
    </row>
    <row r="716" spans="1:11" x14ac:dyDescent="0.3">
      <c r="A716" t="s">
        <v>968</v>
      </c>
      <c r="B716" t="s">
        <v>969</v>
      </c>
      <c r="C716">
        <v>123</v>
      </c>
      <c r="D716" t="s">
        <v>28</v>
      </c>
      <c r="E716" s="1">
        <v>45737</v>
      </c>
      <c r="J716">
        <v>69</v>
      </c>
      <c r="K716">
        <v>80</v>
      </c>
    </row>
    <row r="717" spans="1:11" x14ac:dyDescent="0.3">
      <c r="A717" t="s">
        <v>521</v>
      </c>
      <c r="B717" t="s">
        <v>522</v>
      </c>
      <c r="C717">
        <v>143</v>
      </c>
      <c r="D717" t="s">
        <v>25</v>
      </c>
      <c r="E717" s="1">
        <v>45097</v>
      </c>
      <c r="J717">
        <v>81</v>
      </c>
      <c r="K717">
        <v>92</v>
      </c>
    </row>
    <row r="718" spans="1:11" x14ac:dyDescent="0.3">
      <c r="A718" t="s">
        <v>1512</v>
      </c>
      <c r="B718" t="s">
        <v>1513</v>
      </c>
      <c r="C718">
        <v>120</v>
      </c>
      <c r="D718" t="s">
        <v>15</v>
      </c>
      <c r="E718" s="1">
        <v>44981</v>
      </c>
      <c r="J718">
        <v>46</v>
      </c>
      <c r="K718">
        <v>54</v>
      </c>
    </row>
    <row r="719" spans="1:11" x14ac:dyDescent="0.3">
      <c r="A719" t="s">
        <v>699</v>
      </c>
      <c r="B719" t="s">
        <v>700</v>
      </c>
      <c r="C719">
        <v>88</v>
      </c>
      <c r="D719" t="s">
        <v>18</v>
      </c>
      <c r="E719" s="1">
        <v>45125</v>
      </c>
      <c r="J719">
        <v>78</v>
      </c>
      <c r="K719">
        <v>87</v>
      </c>
    </row>
    <row r="720" spans="1:11" x14ac:dyDescent="0.3">
      <c r="A720" t="s">
        <v>258</v>
      </c>
      <c r="B720" t="s">
        <v>259</v>
      </c>
      <c r="C720">
        <v>85</v>
      </c>
      <c r="D720" t="s">
        <v>12</v>
      </c>
      <c r="E720" s="1">
        <v>44897</v>
      </c>
      <c r="J720">
        <v>83</v>
      </c>
      <c r="K720">
        <v>97</v>
      </c>
    </row>
    <row r="721" spans="1:11" x14ac:dyDescent="0.3">
      <c r="A721" t="s">
        <v>214</v>
      </c>
      <c r="B721" t="s">
        <v>215</v>
      </c>
      <c r="C721">
        <v>79</v>
      </c>
      <c r="D721" t="s">
        <v>160</v>
      </c>
      <c r="E721" s="1">
        <v>44826</v>
      </c>
      <c r="J721">
        <v>75</v>
      </c>
      <c r="K721">
        <v>98</v>
      </c>
    </row>
    <row r="722" spans="1:11" x14ac:dyDescent="0.3">
      <c r="A722" t="s">
        <v>1312</v>
      </c>
      <c r="B722" t="s">
        <v>1313</v>
      </c>
      <c r="C722">
        <v>132</v>
      </c>
      <c r="D722" t="s">
        <v>15</v>
      </c>
      <c r="E722" s="1">
        <v>45485</v>
      </c>
      <c r="J722">
        <v>53</v>
      </c>
      <c r="K722">
        <v>66</v>
      </c>
    </row>
    <row r="723" spans="1:11" x14ac:dyDescent="0.3">
      <c r="A723" t="s">
        <v>1076</v>
      </c>
      <c r="B723" t="s">
        <v>1077</v>
      </c>
      <c r="C723">
        <v>110</v>
      </c>
      <c r="D723" t="s">
        <v>28</v>
      </c>
      <c r="E723" s="1">
        <v>45457</v>
      </c>
      <c r="J723">
        <v>69</v>
      </c>
      <c r="K723">
        <v>76</v>
      </c>
    </row>
    <row r="724" spans="1:11" x14ac:dyDescent="0.3">
      <c r="A724" t="s">
        <v>785</v>
      </c>
      <c r="B724" t="s">
        <v>786</v>
      </c>
      <c r="C724">
        <v>104</v>
      </c>
      <c r="D724" t="s">
        <v>28</v>
      </c>
      <c r="E724" s="1">
        <v>45373</v>
      </c>
      <c r="J724">
        <v>68</v>
      </c>
      <c r="K724">
        <v>85</v>
      </c>
    </row>
    <row r="725" spans="1:11" x14ac:dyDescent="0.3">
      <c r="A725" t="s">
        <v>1380</v>
      </c>
      <c r="B725" t="s">
        <v>1381</v>
      </c>
      <c r="C725">
        <v>128</v>
      </c>
      <c r="D725" t="s">
        <v>28</v>
      </c>
      <c r="E725" s="1">
        <v>44932</v>
      </c>
      <c r="J725">
        <v>56</v>
      </c>
      <c r="K725">
        <v>62</v>
      </c>
    </row>
    <row r="726" spans="1:11" x14ac:dyDescent="0.3">
      <c r="A726" t="s">
        <v>896</v>
      </c>
      <c r="B726" t="s">
        <v>897</v>
      </c>
      <c r="C726">
        <v>118</v>
      </c>
      <c r="D726" t="s">
        <v>28</v>
      </c>
      <c r="E726" s="1">
        <v>45569</v>
      </c>
      <c r="J726">
        <v>72</v>
      </c>
      <c r="K726">
        <v>82</v>
      </c>
    </row>
    <row r="727" spans="1:11" x14ac:dyDescent="0.3">
      <c r="A727" t="s">
        <v>1430</v>
      </c>
      <c r="B727" t="s">
        <v>1431</v>
      </c>
      <c r="C727">
        <v>91</v>
      </c>
      <c r="D727" t="s">
        <v>63</v>
      </c>
      <c r="E727" s="1">
        <v>45699</v>
      </c>
      <c r="J727">
        <v>54</v>
      </c>
      <c r="K727">
        <v>58</v>
      </c>
    </row>
    <row r="728" spans="1:11" x14ac:dyDescent="0.3">
      <c r="A728" t="s">
        <v>1532</v>
      </c>
      <c r="B728" t="s">
        <v>1533</v>
      </c>
      <c r="C728">
        <v>181</v>
      </c>
      <c r="D728" t="s">
        <v>28</v>
      </c>
      <c r="E728" s="1">
        <v>45471</v>
      </c>
      <c r="J728">
        <v>49</v>
      </c>
      <c r="K728">
        <v>51</v>
      </c>
    </row>
    <row r="729" spans="1:11" x14ac:dyDescent="0.3">
      <c r="A729" t="s">
        <v>436</v>
      </c>
      <c r="B729" t="s">
        <v>437</v>
      </c>
      <c r="C729">
        <v>106</v>
      </c>
      <c r="D729" t="s">
        <v>12</v>
      </c>
      <c r="E729" s="1">
        <v>45702</v>
      </c>
      <c r="J729">
        <v>65</v>
      </c>
      <c r="K729">
        <v>93</v>
      </c>
    </row>
    <row r="730" spans="1:11" x14ac:dyDescent="0.3">
      <c r="A730" t="s">
        <v>865</v>
      </c>
      <c r="B730" t="s">
        <v>866</v>
      </c>
      <c r="C730">
        <v>119</v>
      </c>
      <c r="D730" t="s">
        <v>28</v>
      </c>
      <c r="E730" s="1">
        <v>45387</v>
      </c>
      <c r="J730">
        <v>65</v>
      </c>
      <c r="K730">
        <v>83</v>
      </c>
    </row>
    <row r="731" spans="1:11" x14ac:dyDescent="0.3">
      <c r="A731" t="s">
        <v>691</v>
      </c>
      <c r="B731" t="s">
        <v>692</v>
      </c>
      <c r="C731">
        <v>99</v>
      </c>
      <c r="D731" t="s">
        <v>63</v>
      </c>
      <c r="E731" s="1">
        <v>44693</v>
      </c>
      <c r="J731">
        <v>68</v>
      </c>
      <c r="K731">
        <v>88</v>
      </c>
    </row>
    <row r="732" spans="1:11" x14ac:dyDescent="0.3">
      <c r="A732" t="s">
        <v>826</v>
      </c>
      <c r="B732" t="s">
        <v>827</v>
      </c>
      <c r="C732">
        <v>114</v>
      </c>
      <c r="D732" t="s">
        <v>28</v>
      </c>
      <c r="E732" s="1">
        <v>45750</v>
      </c>
      <c r="J732">
        <v>65</v>
      </c>
      <c r="K732">
        <v>84</v>
      </c>
    </row>
    <row r="733" spans="1:11" x14ac:dyDescent="0.3">
      <c r="A733" t="s">
        <v>606</v>
      </c>
      <c r="B733" t="s">
        <v>607</v>
      </c>
      <c r="C733">
        <v>104</v>
      </c>
      <c r="D733" t="s">
        <v>15</v>
      </c>
      <c r="E733" s="1">
        <v>44953</v>
      </c>
      <c r="J733">
        <v>77</v>
      </c>
      <c r="K733">
        <v>90</v>
      </c>
    </row>
    <row r="734" spans="1:11" x14ac:dyDescent="0.3">
      <c r="A734" t="s">
        <v>164</v>
      </c>
      <c r="B734" t="s">
        <v>165</v>
      </c>
      <c r="C734">
        <v>118</v>
      </c>
      <c r="D734" t="s">
        <v>25</v>
      </c>
      <c r="E734" s="1">
        <v>45567</v>
      </c>
      <c r="J734">
        <v>93</v>
      </c>
      <c r="K734">
        <v>100</v>
      </c>
    </row>
    <row r="735" spans="1:11" x14ac:dyDescent="0.3">
      <c r="A735" t="s">
        <v>767</v>
      </c>
      <c r="B735" t="s">
        <v>768</v>
      </c>
      <c r="C735">
        <v>129</v>
      </c>
      <c r="D735" t="s">
        <v>28</v>
      </c>
      <c r="E735" s="1">
        <v>44678</v>
      </c>
      <c r="J735">
        <v>71</v>
      </c>
      <c r="K735">
        <v>86</v>
      </c>
    </row>
    <row r="736" spans="1:11" x14ac:dyDescent="0.3">
      <c r="A736" t="s">
        <v>533</v>
      </c>
      <c r="B736" t="s">
        <v>534</v>
      </c>
      <c r="C736">
        <v>83</v>
      </c>
      <c r="D736" t="s">
        <v>25</v>
      </c>
      <c r="E736" s="1">
        <v>44728</v>
      </c>
      <c r="J736">
        <v>80</v>
      </c>
      <c r="K736">
        <v>92</v>
      </c>
    </row>
    <row r="737" spans="1:11" x14ac:dyDescent="0.3">
      <c r="A737" t="s">
        <v>23</v>
      </c>
      <c r="B737" t="s">
        <v>24</v>
      </c>
      <c r="C737">
        <v>95</v>
      </c>
      <c r="D737" t="s">
        <v>25</v>
      </c>
      <c r="E737" s="1">
        <v>45405</v>
      </c>
      <c r="J737">
        <v>91</v>
      </c>
      <c r="K737">
        <v>97</v>
      </c>
    </row>
    <row r="738" spans="1:11" x14ac:dyDescent="0.3">
      <c r="A738" t="s">
        <v>1552</v>
      </c>
      <c r="B738" t="s">
        <v>1553</v>
      </c>
      <c r="C738">
        <v>101</v>
      </c>
      <c r="D738" t="s">
        <v>90</v>
      </c>
      <c r="E738" s="1">
        <v>44700</v>
      </c>
      <c r="J738">
        <v>55</v>
      </c>
      <c r="K738">
        <v>50</v>
      </c>
    </row>
    <row r="739" spans="1:11" x14ac:dyDescent="0.3">
      <c r="A739" t="s">
        <v>620</v>
      </c>
      <c r="B739" t="s">
        <v>621</v>
      </c>
      <c r="C739">
        <v>115</v>
      </c>
      <c r="D739" t="s">
        <v>15</v>
      </c>
      <c r="E739" s="1">
        <v>45618</v>
      </c>
      <c r="J739">
        <v>62</v>
      </c>
      <c r="K739">
        <v>89</v>
      </c>
    </row>
    <row r="740" spans="1:11" x14ac:dyDescent="0.3">
      <c r="A740" t="s">
        <v>486</v>
      </c>
      <c r="B740" t="s">
        <v>487</v>
      </c>
      <c r="C740">
        <v>127</v>
      </c>
      <c r="D740" t="s">
        <v>18</v>
      </c>
      <c r="E740" s="1">
        <v>44764</v>
      </c>
      <c r="J740">
        <v>70</v>
      </c>
      <c r="K740">
        <v>93</v>
      </c>
    </row>
    <row r="741" spans="1:11" x14ac:dyDescent="0.3">
      <c r="A741" t="s">
        <v>1386</v>
      </c>
      <c r="B741" t="s">
        <v>1387</v>
      </c>
      <c r="C741">
        <v>95</v>
      </c>
      <c r="D741" t="s">
        <v>28</v>
      </c>
      <c r="E741" s="1">
        <v>44617</v>
      </c>
      <c r="J741">
        <v>54</v>
      </c>
      <c r="K741">
        <v>62</v>
      </c>
    </row>
    <row r="742" spans="1:11" x14ac:dyDescent="0.3">
      <c r="A742" t="s">
        <v>230</v>
      </c>
      <c r="B742" t="s">
        <v>231</v>
      </c>
      <c r="C742">
        <v>101</v>
      </c>
      <c r="D742" t="s">
        <v>28</v>
      </c>
      <c r="E742" s="1">
        <v>45555</v>
      </c>
      <c r="J742">
        <v>84</v>
      </c>
      <c r="K742">
        <v>97</v>
      </c>
    </row>
    <row r="743" spans="1:11" x14ac:dyDescent="0.3">
      <c r="A743" t="s">
        <v>753</v>
      </c>
      <c r="B743" t="s">
        <v>754</v>
      </c>
      <c r="C743">
        <v>107</v>
      </c>
      <c r="D743" t="s">
        <v>15</v>
      </c>
      <c r="E743" s="1">
        <v>44942</v>
      </c>
      <c r="J743">
        <v>60</v>
      </c>
      <c r="K743">
        <v>86</v>
      </c>
    </row>
    <row r="744" spans="1:11" x14ac:dyDescent="0.3">
      <c r="A744" t="s">
        <v>1248</v>
      </c>
      <c r="B744" t="s">
        <v>1249</v>
      </c>
      <c r="C744">
        <v>127</v>
      </c>
      <c r="D744" t="s">
        <v>15</v>
      </c>
      <c r="E744" s="1">
        <v>44883</v>
      </c>
      <c r="J744">
        <v>55</v>
      </c>
      <c r="K744">
        <v>70</v>
      </c>
    </row>
    <row r="745" spans="1:11" x14ac:dyDescent="0.3">
      <c r="A745" t="s">
        <v>1278</v>
      </c>
      <c r="B745" t="s">
        <v>1279</v>
      </c>
      <c r="C745">
        <v>116</v>
      </c>
      <c r="D745" t="s">
        <v>28</v>
      </c>
      <c r="E745" s="1">
        <v>44974</v>
      </c>
      <c r="J745">
        <v>65</v>
      </c>
      <c r="K745">
        <v>68</v>
      </c>
    </row>
    <row r="746" spans="1:11" x14ac:dyDescent="0.3">
      <c r="A746" t="s">
        <v>202</v>
      </c>
      <c r="B746" t="s">
        <v>203</v>
      </c>
      <c r="C746">
        <v>98</v>
      </c>
      <c r="D746" t="s">
        <v>15</v>
      </c>
      <c r="E746" s="1">
        <v>45464</v>
      </c>
      <c r="J746">
        <v>77</v>
      </c>
      <c r="K746">
        <v>98</v>
      </c>
    </row>
    <row r="747" spans="1:11" x14ac:dyDescent="0.3">
      <c r="A747" t="s">
        <v>1384</v>
      </c>
      <c r="B747" t="s">
        <v>1385</v>
      </c>
      <c r="C747">
        <v>110</v>
      </c>
      <c r="D747" t="s">
        <v>90</v>
      </c>
      <c r="E747" s="1">
        <v>44790</v>
      </c>
      <c r="J747">
        <v>49</v>
      </c>
      <c r="K747">
        <v>62</v>
      </c>
    </row>
    <row r="748" spans="1:11" x14ac:dyDescent="0.3">
      <c r="A748" t="s">
        <v>101</v>
      </c>
      <c r="B748">
        <v>1992</v>
      </c>
      <c r="C748">
        <v>97</v>
      </c>
      <c r="D748" t="s">
        <v>28</v>
      </c>
      <c r="E748" s="1">
        <v>45534</v>
      </c>
      <c r="J748">
        <v>44</v>
      </c>
      <c r="K748">
        <v>65</v>
      </c>
    </row>
    <row r="749" spans="1:11" x14ac:dyDescent="0.3">
      <c r="A749" t="s">
        <v>1518</v>
      </c>
      <c r="B749" t="s">
        <v>1519</v>
      </c>
      <c r="C749">
        <v>119</v>
      </c>
      <c r="D749" t="s">
        <v>28</v>
      </c>
      <c r="E749" s="1">
        <v>45022</v>
      </c>
      <c r="J749">
        <v>43</v>
      </c>
      <c r="K749">
        <v>53</v>
      </c>
    </row>
    <row r="750" spans="1:11" x14ac:dyDescent="0.3">
      <c r="A750" t="s">
        <v>1492</v>
      </c>
      <c r="B750" t="s">
        <v>1493</v>
      </c>
      <c r="C750">
        <v>94</v>
      </c>
      <c r="D750" t="s">
        <v>28</v>
      </c>
      <c r="E750" s="1">
        <v>45517</v>
      </c>
      <c r="J750">
        <v>48</v>
      </c>
      <c r="K750">
        <v>55</v>
      </c>
    </row>
    <row r="751" spans="1:11" x14ac:dyDescent="0.3">
      <c r="A751" t="s">
        <v>1138</v>
      </c>
      <c r="B751" t="s">
        <v>1139</v>
      </c>
      <c r="C751">
        <v>121</v>
      </c>
      <c r="D751" t="s">
        <v>28</v>
      </c>
      <c r="E751" s="1">
        <v>44860</v>
      </c>
      <c r="J751">
        <v>65</v>
      </c>
      <c r="K751">
        <v>74</v>
      </c>
    </row>
    <row r="752" spans="1:11" x14ac:dyDescent="0.3">
      <c r="A752" t="s">
        <v>1232</v>
      </c>
      <c r="B752" t="s">
        <v>1233</v>
      </c>
      <c r="C752">
        <v>108</v>
      </c>
      <c r="D752" t="s">
        <v>28</v>
      </c>
      <c r="E752" s="1">
        <v>44799</v>
      </c>
      <c r="J752">
        <v>60</v>
      </c>
      <c r="K752">
        <v>71</v>
      </c>
    </row>
    <row r="753" spans="1:11" x14ac:dyDescent="0.3">
      <c r="A753" t="s">
        <v>446</v>
      </c>
      <c r="B753" t="s">
        <v>447</v>
      </c>
      <c r="C753">
        <v>114</v>
      </c>
      <c r="D753" t="s">
        <v>15</v>
      </c>
      <c r="E753" s="1">
        <v>45646</v>
      </c>
      <c r="J753">
        <v>72</v>
      </c>
      <c r="K753">
        <v>93</v>
      </c>
    </row>
    <row r="754" spans="1:11" x14ac:dyDescent="0.3">
      <c r="A754" t="s">
        <v>138</v>
      </c>
      <c r="B754" t="s">
        <v>139</v>
      </c>
      <c r="C754">
        <v>116</v>
      </c>
      <c r="D754" t="s">
        <v>15</v>
      </c>
      <c r="E754" s="1">
        <v>45037</v>
      </c>
      <c r="J754">
        <v>34</v>
      </c>
      <c r="K754">
        <v>25</v>
      </c>
    </row>
    <row r="755" spans="1:11" x14ac:dyDescent="0.3">
      <c r="A755" t="s">
        <v>535</v>
      </c>
      <c r="B755" t="s">
        <v>536</v>
      </c>
      <c r="C755">
        <v>93</v>
      </c>
      <c r="D755" t="s">
        <v>15</v>
      </c>
      <c r="E755" s="1">
        <v>45716</v>
      </c>
      <c r="J755">
        <v>66</v>
      </c>
      <c r="K755">
        <v>91</v>
      </c>
    </row>
    <row r="756" spans="1:11" x14ac:dyDescent="0.3">
      <c r="A756" t="s">
        <v>1870</v>
      </c>
      <c r="B756" t="s">
        <v>1871</v>
      </c>
      <c r="C756">
        <v>126</v>
      </c>
      <c r="D756" t="s">
        <v>28</v>
      </c>
      <c r="E756" s="1">
        <v>45275</v>
      </c>
      <c r="J756">
        <v>44</v>
      </c>
      <c r="K756">
        <v>28</v>
      </c>
    </row>
    <row r="757" spans="1:11" x14ac:dyDescent="0.3">
      <c r="A757" t="s">
        <v>1026</v>
      </c>
      <c r="B757" t="s">
        <v>1027</v>
      </c>
      <c r="C757">
        <v>107</v>
      </c>
      <c r="D757" t="s">
        <v>28</v>
      </c>
      <c r="E757" s="1">
        <v>44953</v>
      </c>
      <c r="J757">
        <v>62</v>
      </c>
      <c r="K757">
        <v>78</v>
      </c>
    </row>
    <row r="758" spans="1:11" x14ac:dyDescent="0.3">
      <c r="A758" t="s">
        <v>1980</v>
      </c>
      <c r="B758" t="s">
        <v>1981</v>
      </c>
      <c r="C758">
        <v>93</v>
      </c>
      <c r="D758" t="s">
        <v>15</v>
      </c>
      <c r="E758" s="1">
        <v>44862</v>
      </c>
      <c r="J758">
        <v>38</v>
      </c>
      <c r="K758">
        <v>15</v>
      </c>
    </row>
    <row r="759" spans="1:11" x14ac:dyDescent="0.3">
      <c r="A759" t="s">
        <v>1732</v>
      </c>
      <c r="B759" t="s">
        <v>1733</v>
      </c>
      <c r="C759">
        <v>125</v>
      </c>
      <c r="D759" t="s">
        <v>28</v>
      </c>
      <c r="E759" s="1">
        <v>44813</v>
      </c>
      <c r="J759">
        <v>46</v>
      </c>
      <c r="K759">
        <v>39</v>
      </c>
    </row>
    <row r="760" spans="1:11" x14ac:dyDescent="0.3">
      <c r="A760" t="s">
        <v>515</v>
      </c>
      <c r="B760" t="s">
        <v>516</v>
      </c>
      <c r="C760">
        <v>97</v>
      </c>
      <c r="D760" t="s">
        <v>160</v>
      </c>
      <c r="E760" s="1">
        <v>45268</v>
      </c>
      <c r="J760">
        <v>65</v>
      </c>
      <c r="K760">
        <v>92</v>
      </c>
    </row>
    <row r="761" spans="1:11" x14ac:dyDescent="0.3">
      <c r="A761" t="s">
        <v>626</v>
      </c>
      <c r="B761" t="s">
        <v>627</v>
      </c>
      <c r="C761">
        <v>121</v>
      </c>
      <c r="D761" t="s">
        <v>28</v>
      </c>
      <c r="E761" s="1">
        <v>45387</v>
      </c>
      <c r="J761">
        <v>70</v>
      </c>
      <c r="K761">
        <v>89</v>
      </c>
    </row>
    <row r="762" spans="1:11" x14ac:dyDescent="0.3">
      <c r="A762" t="s">
        <v>55</v>
      </c>
      <c r="B762" t="s">
        <v>56</v>
      </c>
      <c r="C762">
        <v>130</v>
      </c>
      <c r="D762" t="s">
        <v>28</v>
      </c>
      <c r="E762" s="1">
        <v>44848</v>
      </c>
      <c r="J762">
        <v>75</v>
      </c>
      <c r="K762">
        <v>87</v>
      </c>
    </row>
    <row r="763" spans="1:11" x14ac:dyDescent="0.3">
      <c r="A763" t="s">
        <v>234</v>
      </c>
      <c r="B763" t="s">
        <v>235</v>
      </c>
      <c r="C763">
        <v>90</v>
      </c>
      <c r="D763" t="s">
        <v>28</v>
      </c>
      <c r="E763" s="1">
        <v>45422</v>
      </c>
      <c r="J763">
        <v>72</v>
      </c>
      <c r="K763">
        <v>97</v>
      </c>
    </row>
    <row r="764" spans="1:11" x14ac:dyDescent="0.3">
      <c r="A764" t="s">
        <v>1030</v>
      </c>
      <c r="B764" t="s">
        <v>1031</v>
      </c>
      <c r="C764">
        <v>87</v>
      </c>
      <c r="D764" t="s">
        <v>15</v>
      </c>
      <c r="E764" s="1">
        <v>44683</v>
      </c>
      <c r="J764">
        <v>68</v>
      </c>
      <c r="K764">
        <v>78</v>
      </c>
    </row>
    <row r="765" spans="1:11" x14ac:dyDescent="0.3">
      <c r="A765" t="s">
        <v>196</v>
      </c>
      <c r="B765" t="s">
        <v>197</v>
      </c>
      <c r="C765">
        <v>97</v>
      </c>
      <c r="D765" t="s">
        <v>18</v>
      </c>
      <c r="E765" s="1">
        <v>44964</v>
      </c>
      <c r="J765">
        <v>87</v>
      </c>
      <c r="K765">
        <v>99</v>
      </c>
    </row>
    <row r="766" spans="1:11" x14ac:dyDescent="0.3">
      <c r="A766" t="s">
        <v>154</v>
      </c>
      <c r="B766" t="s">
        <v>155</v>
      </c>
      <c r="C766">
        <v>107</v>
      </c>
      <c r="D766" t="s">
        <v>28</v>
      </c>
      <c r="E766" s="1">
        <v>45635</v>
      </c>
      <c r="J766">
        <v>90</v>
      </c>
      <c r="K766">
        <v>100</v>
      </c>
    </row>
    <row r="767" spans="1:11" x14ac:dyDescent="0.3">
      <c r="A767" t="s">
        <v>787</v>
      </c>
      <c r="B767" t="s">
        <v>788</v>
      </c>
      <c r="C767">
        <v>108</v>
      </c>
      <c r="D767" t="s">
        <v>28</v>
      </c>
      <c r="E767" s="1">
        <v>45358</v>
      </c>
      <c r="J767">
        <v>64</v>
      </c>
      <c r="K767">
        <v>85</v>
      </c>
    </row>
    <row r="768" spans="1:11" x14ac:dyDescent="0.3">
      <c r="A768" t="s">
        <v>386</v>
      </c>
      <c r="B768" t="s">
        <v>387</v>
      </c>
      <c r="C768">
        <v>98</v>
      </c>
      <c r="D768" t="s">
        <v>25</v>
      </c>
      <c r="E768" s="1">
        <v>45448</v>
      </c>
      <c r="J768">
        <v>79</v>
      </c>
      <c r="K768">
        <v>94</v>
      </c>
    </row>
    <row r="769" spans="1:11" x14ac:dyDescent="0.3">
      <c r="A769" t="s">
        <v>894</v>
      </c>
      <c r="B769" t="s">
        <v>895</v>
      </c>
      <c r="C769">
        <v>122</v>
      </c>
      <c r="D769" t="s">
        <v>28</v>
      </c>
      <c r="E769" s="1">
        <v>45576</v>
      </c>
      <c r="J769">
        <v>64</v>
      </c>
      <c r="K769">
        <v>82</v>
      </c>
    </row>
    <row r="770" spans="1:11" x14ac:dyDescent="0.3">
      <c r="A770" t="s">
        <v>254</v>
      </c>
      <c r="B770" t="s">
        <v>255</v>
      </c>
      <c r="C770">
        <v>125</v>
      </c>
      <c r="D770" t="s">
        <v>25</v>
      </c>
      <c r="E770" s="1">
        <v>45023</v>
      </c>
      <c r="J770">
        <v>81</v>
      </c>
      <c r="K770">
        <v>97</v>
      </c>
    </row>
    <row r="771" spans="1:11" x14ac:dyDescent="0.3">
      <c r="A771" t="s">
        <v>1172</v>
      </c>
      <c r="B771" t="s">
        <v>1173</v>
      </c>
      <c r="C771">
        <v>139</v>
      </c>
      <c r="D771" t="s">
        <v>28</v>
      </c>
      <c r="E771" s="1">
        <v>45590</v>
      </c>
      <c r="J771">
        <v>74</v>
      </c>
      <c r="K771">
        <v>72</v>
      </c>
    </row>
    <row r="772" spans="1:11" x14ac:dyDescent="0.3">
      <c r="A772" t="s">
        <v>1240</v>
      </c>
      <c r="B772" t="s">
        <v>1241</v>
      </c>
      <c r="C772">
        <v>101</v>
      </c>
      <c r="D772" t="s">
        <v>28</v>
      </c>
      <c r="E772" s="1">
        <v>45442</v>
      </c>
      <c r="J772">
        <v>57</v>
      </c>
      <c r="K772">
        <v>70</v>
      </c>
    </row>
    <row r="773" spans="1:11" x14ac:dyDescent="0.3">
      <c r="A773" t="s">
        <v>278</v>
      </c>
      <c r="B773" t="s">
        <v>279</v>
      </c>
      <c r="C773">
        <v>97</v>
      </c>
      <c r="D773" t="s">
        <v>28</v>
      </c>
      <c r="E773" s="1">
        <v>45527</v>
      </c>
      <c r="J773">
        <v>80</v>
      </c>
      <c r="K773">
        <v>96</v>
      </c>
    </row>
    <row r="774" spans="1:11" x14ac:dyDescent="0.3">
      <c r="A774" t="s">
        <v>498</v>
      </c>
      <c r="B774" t="s">
        <v>499</v>
      </c>
      <c r="C774">
        <v>101</v>
      </c>
      <c r="D774" t="s">
        <v>12</v>
      </c>
      <c r="E774" s="1">
        <v>45681</v>
      </c>
      <c r="J774">
        <v>76</v>
      </c>
      <c r="K774">
        <v>92</v>
      </c>
    </row>
    <row r="775" spans="1:11" x14ac:dyDescent="0.3">
      <c r="A775" t="s">
        <v>503</v>
      </c>
      <c r="B775" t="s">
        <v>504</v>
      </c>
      <c r="C775">
        <v>99</v>
      </c>
      <c r="D775" t="s">
        <v>12</v>
      </c>
      <c r="E775" s="1">
        <v>45604</v>
      </c>
      <c r="J775">
        <v>60</v>
      </c>
      <c r="K775">
        <v>92</v>
      </c>
    </row>
    <row r="776" spans="1:11" x14ac:dyDescent="0.3">
      <c r="A776" t="s">
        <v>16</v>
      </c>
      <c r="B776" t="s">
        <v>17</v>
      </c>
      <c r="C776">
        <v>121</v>
      </c>
      <c r="D776" t="s">
        <v>18</v>
      </c>
      <c r="E776" s="1">
        <v>45021</v>
      </c>
      <c r="J776">
        <v>79</v>
      </c>
      <c r="K776">
        <v>98</v>
      </c>
    </row>
    <row r="777" spans="1:11" x14ac:dyDescent="0.3">
      <c r="A777" t="s">
        <v>630</v>
      </c>
      <c r="B777" t="s">
        <v>631</v>
      </c>
      <c r="C777">
        <v>89</v>
      </c>
      <c r="D777" t="s">
        <v>632</v>
      </c>
      <c r="E777" s="1">
        <v>45302</v>
      </c>
      <c r="J777">
        <v>72</v>
      </c>
      <c r="K777">
        <v>89</v>
      </c>
    </row>
    <row r="778" spans="1:11" x14ac:dyDescent="0.3">
      <c r="A778" t="s">
        <v>869</v>
      </c>
      <c r="B778" t="s">
        <v>870</v>
      </c>
      <c r="C778">
        <v>98</v>
      </c>
      <c r="D778" t="s">
        <v>12</v>
      </c>
      <c r="E778" s="1">
        <v>45275</v>
      </c>
      <c r="J778">
        <v>63</v>
      </c>
      <c r="K778">
        <v>83</v>
      </c>
    </row>
    <row r="779" spans="1:11" x14ac:dyDescent="0.3">
      <c r="A779" t="s">
        <v>454</v>
      </c>
      <c r="B779" t="s">
        <v>455</v>
      </c>
      <c r="C779">
        <v>112</v>
      </c>
      <c r="D779" t="s">
        <v>28</v>
      </c>
      <c r="E779" s="1">
        <v>45569</v>
      </c>
      <c r="J779">
        <v>78</v>
      </c>
      <c r="K779">
        <v>93</v>
      </c>
    </row>
    <row r="780" spans="1:11" x14ac:dyDescent="0.3">
      <c r="A780" t="s">
        <v>984</v>
      </c>
      <c r="B780" t="s">
        <v>985</v>
      </c>
      <c r="C780">
        <v>100</v>
      </c>
      <c r="D780" t="s">
        <v>28</v>
      </c>
      <c r="E780" s="1">
        <v>45387</v>
      </c>
      <c r="J780">
        <v>58</v>
      </c>
      <c r="K780">
        <v>80</v>
      </c>
    </row>
    <row r="781" spans="1:11" x14ac:dyDescent="0.3">
      <c r="A781" t="s">
        <v>1106</v>
      </c>
      <c r="B781" t="s">
        <v>1107</v>
      </c>
      <c r="C781">
        <v>105</v>
      </c>
      <c r="D781" t="s">
        <v>15</v>
      </c>
      <c r="E781" s="1">
        <v>45541</v>
      </c>
      <c r="J781">
        <v>62</v>
      </c>
      <c r="K781">
        <v>75</v>
      </c>
    </row>
    <row r="782" spans="1:11" x14ac:dyDescent="0.3">
      <c r="A782" t="s">
        <v>1494</v>
      </c>
      <c r="B782" t="s">
        <v>1495</v>
      </c>
      <c r="C782">
        <v>130</v>
      </c>
      <c r="D782" t="s">
        <v>15</v>
      </c>
      <c r="E782" s="1">
        <v>45513</v>
      </c>
      <c r="J782">
        <v>53</v>
      </c>
      <c r="K782">
        <v>55</v>
      </c>
    </row>
    <row r="783" spans="1:11" x14ac:dyDescent="0.3">
      <c r="A783" t="s">
        <v>424</v>
      </c>
      <c r="B783" t="s">
        <v>425</v>
      </c>
      <c r="C783">
        <v>97</v>
      </c>
      <c r="D783" t="s">
        <v>28</v>
      </c>
      <c r="E783" s="1">
        <v>44729</v>
      </c>
      <c r="J783">
        <v>78</v>
      </c>
      <c r="K783">
        <v>94</v>
      </c>
    </row>
    <row r="784" spans="1:11" x14ac:dyDescent="0.3">
      <c r="A784" t="s">
        <v>1534</v>
      </c>
      <c r="B784" t="s">
        <v>1535</v>
      </c>
      <c r="C784">
        <v>104</v>
      </c>
      <c r="D784" t="s">
        <v>12</v>
      </c>
      <c r="E784" s="1">
        <v>45429</v>
      </c>
      <c r="J784">
        <v>46</v>
      </c>
      <c r="K784">
        <v>51</v>
      </c>
    </row>
    <row r="785" spans="1:11" x14ac:dyDescent="0.3">
      <c r="A785" t="s">
        <v>442</v>
      </c>
      <c r="B785" t="s">
        <v>443</v>
      </c>
      <c r="C785">
        <v>216</v>
      </c>
      <c r="D785" t="s">
        <v>28</v>
      </c>
      <c r="E785" s="1">
        <v>45681</v>
      </c>
      <c r="J785">
        <v>90</v>
      </c>
      <c r="K785">
        <v>93</v>
      </c>
    </row>
    <row r="786" spans="1:11" x14ac:dyDescent="0.3">
      <c r="A786" t="s">
        <v>934</v>
      </c>
      <c r="B786" t="s">
        <v>935</v>
      </c>
      <c r="C786">
        <v>114</v>
      </c>
      <c r="D786" t="s">
        <v>28</v>
      </c>
      <c r="E786" s="1">
        <v>44624</v>
      </c>
      <c r="J786">
        <v>67</v>
      </c>
      <c r="K786">
        <v>82</v>
      </c>
    </row>
    <row r="787" spans="1:11" x14ac:dyDescent="0.3">
      <c r="A787" t="s">
        <v>312</v>
      </c>
      <c r="B787" t="s">
        <v>313</v>
      </c>
      <c r="C787">
        <v>102</v>
      </c>
      <c r="D787" t="s">
        <v>15</v>
      </c>
      <c r="E787" s="1">
        <v>44869</v>
      </c>
      <c r="J787">
        <v>81</v>
      </c>
      <c r="K787">
        <v>96</v>
      </c>
    </row>
    <row r="788" spans="1:11" x14ac:dyDescent="0.3">
      <c r="A788" t="s">
        <v>106</v>
      </c>
      <c r="B788" t="s">
        <v>107</v>
      </c>
      <c r="C788">
        <v>113</v>
      </c>
      <c r="D788" t="s">
        <v>12</v>
      </c>
      <c r="E788" s="1">
        <v>45408</v>
      </c>
      <c r="J788">
        <v>46</v>
      </c>
      <c r="K788">
        <v>61</v>
      </c>
    </row>
    <row r="789" spans="1:11" x14ac:dyDescent="0.3">
      <c r="A789" t="s">
        <v>715</v>
      </c>
      <c r="B789" t="s">
        <v>716</v>
      </c>
      <c r="C789">
        <v>102</v>
      </c>
      <c r="D789" t="s">
        <v>15</v>
      </c>
      <c r="E789" s="1">
        <v>44708</v>
      </c>
      <c r="J789">
        <v>75</v>
      </c>
      <c r="K789">
        <v>87</v>
      </c>
    </row>
    <row r="790" spans="1:11" x14ac:dyDescent="0.3">
      <c r="A790" t="s">
        <v>580</v>
      </c>
      <c r="B790" t="s">
        <v>581</v>
      </c>
      <c r="C790">
        <v>111</v>
      </c>
      <c r="D790" t="s">
        <v>28</v>
      </c>
      <c r="E790" s="1">
        <v>45604</v>
      </c>
      <c r="J790">
        <v>71</v>
      </c>
      <c r="K790">
        <v>90</v>
      </c>
    </row>
    <row r="791" spans="1:11" x14ac:dyDescent="0.3">
      <c r="A791" t="s">
        <v>1470</v>
      </c>
      <c r="B791" t="s">
        <v>1471</v>
      </c>
      <c r="C791">
        <v>110</v>
      </c>
      <c r="D791" t="s">
        <v>15</v>
      </c>
      <c r="E791" s="1">
        <v>45359</v>
      </c>
      <c r="J791">
        <v>46</v>
      </c>
      <c r="K791">
        <v>56</v>
      </c>
    </row>
    <row r="792" spans="1:11" x14ac:dyDescent="0.3">
      <c r="A792" t="s">
        <v>1655</v>
      </c>
      <c r="B792" t="s">
        <v>1656</v>
      </c>
      <c r="C792">
        <v>110</v>
      </c>
      <c r="D792" t="s">
        <v>28</v>
      </c>
      <c r="E792" s="1">
        <v>45373</v>
      </c>
      <c r="J792">
        <v>45</v>
      </c>
      <c r="K792">
        <v>43</v>
      </c>
    </row>
    <row r="793" spans="1:11" x14ac:dyDescent="0.3">
      <c r="A793" t="s">
        <v>1841</v>
      </c>
      <c r="B793" t="s">
        <v>1842</v>
      </c>
      <c r="C793">
        <v>123</v>
      </c>
      <c r="D793" t="s">
        <v>15</v>
      </c>
      <c r="E793" s="1">
        <v>45611</v>
      </c>
      <c r="J793">
        <v>34</v>
      </c>
      <c r="K793">
        <v>30</v>
      </c>
    </row>
    <row r="794" spans="1:11" x14ac:dyDescent="0.3">
      <c r="A794" t="s">
        <v>1184</v>
      </c>
      <c r="B794" t="s">
        <v>1185</v>
      </c>
      <c r="C794">
        <v>88</v>
      </c>
      <c r="D794" t="s">
        <v>12</v>
      </c>
      <c r="E794" s="1">
        <v>45198</v>
      </c>
      <c r="J794">
        <v>49</v>
      </c>
      <c r="K794">
        <v>72</v>
      </c>
    </row>
    <row r="795" spans="1:11" x14ac:dyDescent="0.3">
      <c r="A795" t="s">
        <v>1398</v>
      </c>
      <c r="B795" t="s">
        <v>1399</v>
      </c>
      <c r="C795">
        <v>100</v>
      </c>
      <c r="D795" t="s">
        <v>12</v>
      </c>
      <c r="E795" s="1">
        <v>45623</v>
      </c>
      <c r="J795">
        <v>58</v>
      </c>
      <c r="K795">
        <v>60</v>
      </c>
    </row>
    <row r="796" spans="1:11" x14ac:dyDescent="0.3">
      <c r="A796" t="s">
        <v>705</v>
      </c>
      <c r="B796" t="s">
        <v>706</v>
      </c>
      <c r="C796">
        <v>112</v>
      </c>
      <c r="D796" t="s">
        <v>15</v>
      </c>
      <c r="E796" s="1">
        <v>44904</v>
      </c>
      <c r="J796">
        <v>61</v>
      </c>
      <c r="K796">
        <v>87</v>
      </c>
    </row>
    <row r="797" spans="1:11" x14ac:dyDescent="0.3">
      <c r="A797" t="s">
        <v>1762</v>
      </c>
      <c r="B797" t="s">
        <v>1763</v>
      </c>
      <c r="C797">
        <v>101</v>
      </c>
      <c r="D797" t="s">
        <v>12</v>
      </c>
      <c r="E797" s="1">
        <v>45436</v>
      </c>
      <c r="J797">
        <v>31</v>
      </c>
      <c r="K797">
        <v>36</v>
      </c>
    </row>
    <row r="798" spans="1:11" x14ac:dyDescent="0.3">
      <c r="A798" t="s">
        <v>1190</v>
      </c>
      <c r="B798" t="s">
        <v>1191</v>
      </c>
      <c r="C798">
        <v>106</v>
      </c>
      <c r="D798" t="s">
        <v>12</v>
      </c>
      <c r="E798" s="1">
        <v>44841</v>
      </c>
      <c r="J798">
        <v>51</v>
      </c>
      <c r="K798">
        <v>72</v>
      </c>
    </row>
    <row r="799" spans="1:11" x14ac:dyDescent="0.3">
      <c r="A799" t="s">
        <v>1504</v>
      </c>
      <c r="B799" t="s">
        <v>1505</v>
      </c>
      <c r="C799">
        <v>103</v>
      </c>
      <c r="D799" t="s">
        <v>15</v>
      </c>
      <c r="E799" s="1">
        <v>45548</v>
      </c>
      <c r="J799">
        <v>56</v>
      </c>
      <c r="K799">
        <v>54</v>
      </c>
    </row>
    <row r="800" spans="1:11" x14ac:dyDescent="0.3">
      <c r="A800" t="s">
        <v>430</v>
      </c>
      <c r="B800" t="s">
        <v>431</v>
      </c>
      <c r="C800">
        <v>105</v>
      </c>
      <c r="D800" t="s">
        <v>28</v>
      </c>
      <c r="E800" s="1">
        <v>44715</v>
      </c>
      <c r="J800">
        <v>72</v>
      </c>
      <c r="K800">
        <v>94</v>
      </c>
    </row>
    <row r="801" spans="1:11" x14ac:dyDescent="0.3">
      <c r="A801" t="s">
        <v>338</v>
      </c>
      <c r="B801" t="s">
        <v>339</v>
      </c>
      <c r="C801">
        <v>131</v>
      </c>
      <c r="D801" t="s">
        <v>63</v>
      </c>
      <c r="E801" s="1">
        <v>45541</v>
      </c>
      <c r="J801">
        <v>76</v>
      </c>
      <c r="K801">
        <v>95</v>
      </c>
    </row>
    <row r="802" spans="1:11" x14ac:dyDescent="0.3">
      <c r="A802" t="s">
        <v>72</v>
      </c>
      <c r="B802" t="s">
        <v>73</v>
      </c>
      <c r="C802">
        <v>97</v>
      </c>
      <c r="D802" t="s">
        <v>12</v>
      </c>
      <c r="E802" s="1">
        <v>44701</v>
      </c>
      <c r="J802">
        <v>66</v>
      </c>
      <c r="K802">
        <v>81</v>
      </c>
    </row>
    <row r="803" spans="1:11" x14ac:dyDescent="0.3">
      <c r="A803" t="s">
        <v>270</v>
      </c>
      <c r="B803" t="s">
        <v>271</v>
      </c>
      <c r="C803">
        <v>95</v>
      </c>
      <c r="D803" t="s">
        <v>28</v>
      </c>
      <c r="E803" s="1">
        <v>44617</v>
      </c>
      <c r="J803">
        <v>74</v>
      </c>
      <c r="K803">
        <v>97</v>
      </c>
    </row>
    <row r="804" spans="1:11" x14ac:dyDescent="0.3">
      <c r="A804" t="s">
        <v>1314</v>
      </c>
      <c r="B804" t="s">
        <v>1315</v>
      </c>
      <c r="C804">
        <v>114</v>
      </c>
      <c r="D804" t="s">
        <v>28</v>
      </c>
      <c r="E804" s="1">
        <v>45366</v>
      </c>
      <c r="J804">
        <v>54</v>
      </c>
      <c r="K804">
        <v>66</v>
      </c>
    </row>
    <row r="805" spans="1:11" x14ac:dyDescent="0.3">
      <c r="A805" t="s">
        <v>590</v>
      </c>
      <c r="B805" t="s">
        <v>591</v>
      </c>
      <c r="C805">
        <v>126</v>
      </c>
      <c r="D805" t="s">
        <v>28</v>
      </c>
      <c r="E805" s="1">
        <v>45413</v>
      </c>
      <c r="J805">
        <v>77</v>
      </c>
      <c r="K805">
        <v>90</v>
      </c>
    </row>
    <row r="806" spans="1:11" x14ac:dyDescent="0.3">
      <c r="A806" t="s">
        <v>47</v>
      </c>
      <c r="B806" t="s">
        <v>48</v>
      </c>
      <c r="C806">
        <v>97</v>
      </c>
      <c r="D806" t="s">
        <v>15</v>
      </c>
      <c r="E806" s="1">
        <v>44652</v>
      </c>
      <c r="J806">
        <v>79</v>
      </c>
      <c r="K806">
        <v>91</v>
      </c>
    </row>
    <row r="807" spans="1:11" x14ac:dyDescent="0.3">
      <c r="A807" t="s">
        <v>10</v>
      </c>
      <c r="B807" t="s">
        <v>11</v>
      </c>
      <c r="C807">
        <v>69</v>
      </c>
      <c r="D807" t="s">
        <v>12</v>
      </c>
      <c r="E807" s="1">
        <v>44658</v>
      </c>
      <c r="J807">
        <v>88</v>
      </c>
      <c r="K807">
        <v>100</v>
      </c>
    </row>
    <row r="808" spans="1:11" x14ac:dyDescent="0.3">
      <c r="A808" t="s">
        <v>950</v>
      </c>
      <c r="B808" t="s">
        <v>951</v>
      </c>
      <c r="C808">
        <v>141</v>
      </c>
      <c r="D808" t="s">
        <v>15</v>
      </c>
      <c r="E808" s="1">
        <v>45285</v>
      </c>
      <c r="J808">
        <v>72</v>
      </c>
      <c r="K808">
        <v>81</v>
      </c>
    </row>
    <row r="809" spans="1:11" x14ac:dyDescent="0.3">
      <c r="A809" t="s">
        <v>922</v>
      </c>
      <c r="B809" t="s">
        <v>923</v>
      </c>
      <c r="C809">
        <v>131</v>
      </c>
      <c r="D809" t="s">
        <v>28</v>
      </c>
      <c r="E809" s="1">
        <v>44888</v>
      </c>
      <c r="J809">
        <v>74</v>
      </c>
      <c r="K809">
        <v>82</v>
      </c>
    </row>
    <row r="810" spans="1:11" x14ac:dyDescent="0.3">
      <c r="A810" t="s">
        <v>440</v>
      </c>
      <c r="B810" t="s">
        <v>441</v>
      </c>
      <c r="C810">
        <v>97</v>
      </c>
      <c r="D810" t="s">
        <v>28</v>
      </c>
      <c r="E810" s="1">
        <v>45688</v>
      </c>
      <c r="J810">
        <v>70</v>
      </c>
      <c r="K810">
        <v>93</v>
      </c>
    </row>
    <row r="811" spans="1:11" x14ac:dyDescent="0.3">
      <c r="A811" t="s">
        <v>460</v>
      </c>
      <c r="B811" t="s">
        <v>461</v>
      </c>
      <c r="C811">
        <v>105</v>
      </c>
      <c r="D811" t="s">
        <v>15</v>
      </c>
      <c r="E811" s="1">
        <v>45342</v>
      </c>
      <c r="J811">
        <v>92</v>
      </c>
      <c r="K811">
        <v>93</v>
      </c>
    </row>
    <row r="812" spans="1:11" x14ac:dyDescent="0.3">
      <c r="A812" t="s">
        <v>1663</v>
      </c>
      <c r="B812" t="s">
        <v>1664</v>
      </c>
      <c r="C812">
        <v>144</v>
      </c>
      <c r="D812" t="s">
        <v>15</v>
      </c>
      <c r="E812" s="1">
        <v>44918</v>
      </c>
      <c r="J812">
        <v>51</v>
      </c>
      <c r="K812">
        <v>43</v>
      </c>
    </row>
    <row r="813" spans="1:11" x14ac:dyDescent="0.3">
      <c r="A813" t="s">
        <v>502</v>
      </c>
      <c r="B813" s="2">
        <v>46270</v>
      </c>
      <c r="C813">
        <v>95</v>
      </c>
      <c r="D813" t="s">
        <v>28</v>
      </c>
      <c r="E813" s="1">
        <v>45674</v>
      </c>
      <c r="J813">
        <v>76</v>
      </c>
      <c r="K813">
        <v>92</v>
      </c>
    </row>
    <row r="814" spans="1:11" x14ac:dyDescent="0.3">
      <c r="A814" t="s">
        <v>1270</v>
      </c>
      <c r="B814" t="s">
        <v>1271</v>
      </c>
      <c r="C814">
        <v>122</v>
      </c>
      <c r="D814" t="s">
        <v>28</v>
      </c>
      <c r="E814" s="1">
        <v>45401</v>
      </c>
      <c r="J814">
        <v>55</v>
      </c>
      <c r="K814">
        <v>68</v>
      </c>
    </row>
    <row r="815" spans="1:11" x14ac:dyDescent="0.3">
      <c r="A815" t="s">
        <v>478</v>
      </c>
      <c r="B815" t="s">
        <v>479</v>
      </c>
      <c r="C815">
        <v>119</v>
      </c>
      <c r="D815" t="s">
        <v>28</v>
      </c>
      <c r="E815" s="1">
        <v>44841</v>
      </c>
      <c r="J815">
        <v>84</v>
      </c>
      <c r="K815">
        <v>93</v>
      </c>
    </row>
    <row r="816" spans="1:11" x14ac:dyDescent="0.3">
      <c r="A816" t="s">
        <v>1266</v>
      </c>
      <c r="B816" t="s">
        <v>1267</v>
      </c>
      <c r="C816">
        <v>117</v>
      </c>
      <c r="D816" t="s">
        <v>28</v>
      </c>
      <c r="E816" s="1">
        <v>45548</v>
      </c>
      <c r="J816">
        <v>62</v>
      </c>
      <c r="K816">
        <v>68</v>
      </c>
    </row>
    <row r="817" spans="1:11" x14ac:dyDescent="0.3">
      <c r="A817" t="s">
        <v>1744</v>
      </c>
      <c r="B817" t="s">
        <v>1745</v>
      </c>
      <c r="C817">
        <v>147</v>
      </c>
      <c r="D817" t="s">
        <v>15</v>
      </c>
      <c r="E817" s="1">
        <v>44853</v>
      </c>
      <c r="J817">
        <v>30</v>
      </c>
      <c r="K817">
        <v>38</v>
      </c>
    </row>
    <row r="818" spans="1:11" x14ac:dyDescent="0.3">
      <c r="A818" t="s">
        <v>1811</v>
      </c>
      <c r="B818" t="s">
        <v>1812</v>
      </c>
      <c r="C818">
        <v>90</v>
      </c>
      <c r="D818" t="s">
        <v>28</v>
      </c>
      <c r="E818" s="1">
        <v>44826</v>
      </c>
      <c r="J818">
        <v>38</v>
      </c>
      <c r="K818">
        <v>32</v>
      </c>
    </row>
    <row r="819" spans="1:11" x14ac:dyDescent="0.3">
      <c r="A819" t="s">
        <v>166</v>
      </c>
      <c r="B819" t="s">
        <v>167</v>
      </c>
      <c r="C819">
        <v>128</v>
      </c>
      <c r="D819" t="s">
        <v>28</v>
      </c>
      <c r="E819" s="1">
        <v>45490</v>
      </c>
      <c r="J819">
        <v>75</v>
      </c>
      <c r="K819">
        <v>100</v>
      </c>
    </row>
    <row r="820" spans="1:11" x14ac:dyDescent="0.3">
      <c r="A820" t="s">
        <v>1448</v>
      </c>
      <c r="B820" t="s">
        <v>1449</v>
      </c>
      <c r="C820">
        <v>128</v>
      </c>
      <c r="D820" t="s">
        <v>28</v>
      </c>
      <c r="E820" s="1">
        <v>45009</v>
      </c>
      <c r="J820">
        <v>50</v>
      </c>
      <c r="K820">
        <v>57</v>
      </c>
    </row>
    <row r="821" spans="1:11" x14ac:dyDescent="0.3">
      <c r="A821" t="s">
        <v>456</v>
      </c>
      <c r="B821" t="s">
        <v>457</v>
      </c>
      <c r="C821">
        <v>119</v>
      </c>
      <c r="D821" t="s">
        <v>18</v>
      </c>
      <c r="E821" s="1">
        <v>45554</v>
      </c>
      <c r="J821">
        <v>85</v>
      </c>
      <c r="K821">
        <v>93</v>
      </c>
    </row>
    <row r="822" spans="1:11" x14ac:dyDescent="0.3">
      <c r="A822" t="s">
        <v>641</v>
      </c>
      <c r="B822" t="s">
        <v>642</v>
      </c>
      <c r="C822">
        <v>116</v>
      </c>
      <c r="D822" t="s">
        <v>15</v>
      </c>
      <c r="E822" s="1">
        <v>44988</v>
      </c>
      <c r="J822">
        <v>73</v>
      </c>
      <c r="K822">
        <v>89</v>
      </c>
    </row>
    <row r="823" spans="1:11" x14ac:dyDescent="0.3">
      <c r="A823" t="s">
        <v>39</v>
      </c>
      <c r="B823" t="s">
        <v>40</v>
      </c>
      <c r="C823">
        <v>126</v>
      </c>
      <c r="D823" t="s">
        <v>28</v>
      </c>
      <c r="E823" s="1">
        <v>45212</v>
      </c>
      <c r="J823">
        <v>74</v>
      </c>
      <c r="K823">
        <v>92</v>
      </c>
    </row>
    <row r="824" spans="1:11" x14ac:dyDescent="0.3">
      <c r="A824" t="s">
        <v>745</v>
      </c>
      <c r="B824" t="s">
        <v>746</v>
      </c>
      <c r="C824">
        <v>121</v>
      </c>
      <c r="D824" t="s">
        <v>15</v>
      </c>
      <c r="E824" s="1">
        <v>45233</v>
      </c>
      <c r="J824">
        <v>63</v>
      </c>
      <c r="K824">
        <v>86</v>
      </c>
    </row>
    <row r="825" spans="1:11" x14ac:dyDescent="0.3">
      <c r="A825" t="s">
        <v>888</v>
      </c>
      <c r="B825" t="s">
        <v>889</v>
      </c>
      <c r="C825">
        <v>141</v>
      </c>
      <c r="D825" t="s">
        <v>28</v>
      </c>
      <c r="E825" s="1">
        <v>45651</v>
      </c>
      <c r="J825">
        <v>70</v>
      </c>
      <c r="K825">
        <v>82</v>
      </c>
    </row>
    <row r="826" spans="1:11" x14ac:dyDescent="0.3">
      <c r="A826" t="s">
        <v>771</v>
      </c>
      <c r="B826" t="s">
        <v>772</v>
      </c>
      <c r="C826">
        <v>105</v>
      </c>
      <c r="D826" t="s">
        <v>28</v>
      </c>
      <c r="E826" s="1">
        <v>44638</v>
      </c>
      <c r="J826">
        <v>69</v>
      </c>
      <c r="K826">
        <v>86</v>
      </c>
    </row>
    <row r="827" spans="1:11" x14ac:dyDescent="0.3">
      <c r="A827" t="s">
        <v>1446</v>
      </c>
      <c r="B827" t="s">
        <v>1447</v>
      </c>
      <c r="C827">
        <v>98</v>
      </c>
      <c r="D827" t="s">
        <v>28</v>
      </c>
      <c r="E827" s="1">
        <v>45017</v>
      </c>
      <c r="J827">
        <v>41</v>
      </c>
      <c r="K827">
        <v>57</v>
      </c>
    </row>
    <row r="828" spans="1:11" x14ac:dyDescent="0.3">
      <c r="A828" t="s">
        <v>586</v>
      </c>
      <c r="B828" t="s">
        <v>587</v>
      </c>
      <c r="C828">
        <v>105</v>
      </c>
      <c r="D828" t="s">
        <v>28</v>
      </c>
      <c r="E828" s="1">
        <v>45477</v>
      </c>
      <c r="J828">
        <v>74</v>
      </c>
      <c r="K828">
        <v>90</v>
      </c>
    </row>
    <row r="829" spans="1:11" x14ac:dyDescent="0.3">
      <c r="A829" t="s">
        <v>266</v>
      </c>
      <c r="B829" t="s">
        <v>267</v>
      </c>
      <c r="C829">
        <v>73</v>
      </c>
      <c r="D829" t="s">
        <v>12</v>
      </c>
      <c r="E829" s="1">
        <v>44687</v>
      </c>
      <c r="J829">
        <v>93</v>
      </c>
      <c r="K829">
        <v>97</v>
      </c>
    </row>
    <row r="830" spans="1:11" x14ac:dyDescent="0.3">
      <c r="A830" t="s">
        <v>1585</v>
      </c>
      <c r="B830" t="s">
        <v>1586</v>
      </c>
      <c r="C830">
        <v>108</v>
      </c>
      <c r="D830" t="s">
        <v>15</v>
      </c>
      <c r="E830" s="1">
        <v>45226</v>
      </c>
      <c r="J830">
        <v>28</v>
      </c>
      <c r="K830">
        <v>47</v>
      </c>
    </row>
    <row r="831" spans="1:11" x14ac:dyDescent="0.3">
      <c r="A831" t="s">
        <v>960</v>
      </c>
      <c r="B831" t="s">
        <v>961</v>
      </c>
      <c r="C831">
        <v>139</v>
      </c>
      <c r="D831" t="s">
        <v>15</v>
      </c>
      <c r="E831" s="1">
        <v>44888</v>
      </c>
      <c r="J831">
        <v>66</v>
      </c>
      <c r="K831">
        <v>81</v>
      </c>
    </row>
    <row r="832" spans="1:11" x14ac:dyDescent="0.3">
      <c r="A832" t="s">
        <v>791</v>
      </c>
      <c r="B832" t="s">
        <v>792</v>
      </c>
      <c r="C832">
        <v>103</v>
      </c>
      <c r="D832" t="s">
        <v>28</v>
      </c>
      <c r="E832" s="1">
        <v>45296</v>
      </c>
      <c r="J832">
        <v>71</v>
      </c>
      <c r="K832">
        <v>85</v>
      </c>
    </row>
    <row r="833" spans="1:11" x14ac:dyDescent="0.3">
      <c r="A833" t="s">
        <v>902</v>
      </c>
      <c r="B833" t="s">
        <v>903</v>
      </c>
      <c r="C833">
        <v>112</v>
      </c>
      <c r="D833" t="s">
        <v>28</v>
      </c>
      <c r="E833" s="1">
        <v>45384</v>
      </c>
      <c r="J833">
        <v>64</v>
      </c>
      <c r="K833">
        <v>82</v>
      </c>
    </row>
    <row r="834" spans="1:11" x14ac:dyDescent="0.3">
      <c r="A834" t="s">
        <v>288</v>
      </c>
      <c r="B834" t="s">
        <v>289</v>
      </c>
      <c r="C834">
        <v>118</v>
      </c>
      <c r="D834" t="s">
        <v>18</v>
      </c>
      <c r="E834" s="1">
        <v>45308</v>
      </c>
      <c r="J834">
        <v>80</v>
      </c>
      <c r="K834">
        <v>96</v>
      </c>
    </row>
    <row r="835" spans="1:11" x14ac:dyDescent="0.3">
      <c r="A835" t="s">
        <v>240</v>
      </c>
      <c r="B835" t="s">
        <v>241</v>
      </c>
      <c r="C835">
        <v>135</v>
      </c>
      <c r="D835" t="s">
        <v>15</v>
      </c>
      <c r="E835" s="1">
        <v>45331</v>
      </c>
      <c r="J835">
        <v>85</v>
      </c>
      <c r="K835">
        <v>97</v>
      </c>
    </row>
    <row r="836" spans="1:11" x14ac:dyDescent="0.3">
      <c r="A836" t="s">
        <v>188</v>
      </c>
      <c r="B836" t="s">
        <v>189</v>
      </c>
      <c r="C836">
        <v>115</v>
      </c>
      <c r="D836" t="s">
        <v>28</v>
      </c>
      <c r="E836" s="1">
        <v>45457</v>
      </c>
      <c r="J836">
        <v>83</v>
      </c>
      <c r="K836">
        <v>99</v>
      </c>
    </row>
    <row r="837" spans="1:11" x14ac:dyDescent="0.3">
      <c r="A837" t="s">
        <v>19</v>
      </c>
      <c r="B837" t="s">
        <v>20</v>
      </c>
      <c r="C837">
        <v>99</v>
      </c>
      <c r="D837" t="s">
        <v>12</v>
      </c>
      <c r="E837" s="1">
        <v>44723</v>
      </c>
      <c r="J837">
        <v>79</v>
      </c>
      <c r="K837">
        <v>98</v>
      </c>
    </row>
    <row r="838" spans="1:11" x14ac:dyDescent="0.3">
      <c r="A838" t="s">
        <v>43</v>
      </c>
      <c r="B838" t="s">
        <v>44</v>
      </c>
      <c r="C838">
        <v>158</v>
      </c>
      <c r="D838" t="s">
        <v>28</v>
      </c>
      <c r="E838" s="1">
        <v>44862</v>
      </c>
      <c r="J838">
        <v>93</v>
      </c>
      <c r="K838">
        <v>91</v>
      </c>
    </row>
    <row r="839" spans="1:11" x14ac:dyDescent="0.3">
      <c r="A839" t="s">
        <v>238</v>
      </c>
      <c r="B839" t="s">
        <v>239</v>
      </c>
      <c r="C839">
        <v>93</v>
      </c>
      <c r="D839" t="s">
        <v>28</v>
      </c>
      <c r="E839" s="1">
        <v>45373</v>
      </c>
      <c r="J839">
        <v>72</v>
      </c>
      <c r="K839">
        <v>97</v>
      </c>
    </row>
    <row r="840" spans="1:11" x14ac:dyDescent="0.3">
      <c r="A840" t="s">
        <v>390</v>
      </c>
      <c r="B840" t="s">
        <v>391</v>
      </c>
      <c r="C840">
        <v>110</v>
      </c>
      <c r="D840" t="s">
        <v>15</v>
      </c>
      <c r="E840" s="1">
        <v>45401</v>
      </c>
      <c r="J840">
        <v>68</v>
      </c>
      <c r="K840">
        <v>94</v>
      </c>
    </row>
    <row r="841" spans="1:11" x14ac:dyDescent="0.3">
      <c r="A841" t="s">
        <v>252</v>
      </c>
      <c r="B841" t="s">
        <v>253</v>
      </c>
      <c r="C841">
        <v>81</v>
      </c>
      <c r="D841" t="s">
        <v>25</v>
      </c>
      <c r="E841" s="1">
        <v>45183</v>
      </c>
      <c r="J841">
        <v>86</v>
      </c>
      <c r="K841">
        <v>97</v>
      </c>
    </row>
    <row r="842" spans="1:11" x14ac:dyDescent="0.3">
      <c r="A842" t="s">
        <v>858</v>
      </c>
      <c r="B842" t="s">
        <v>859</v>
      </c>
      <c r="C842">
        <v>110</v>
      </c>
      <c r="D842" t="s">
        <v>28</v>
      </c>
      <c r="E842" s="1">
        <v>45548</v>
      </c>
      <c r="J842">
        <v>66</v>
      </c>
      <c r="K842">
        <v>83</v>
      </c>
    </row>
    <row r="843" spans="1:11" x14ac:dyDescent="0.3">
      <c r="A843" t="s">
        <v>900</v>
      </c>
      <c r="B843" t="s">
        <v>901</v>
      </c>
      <c r="C843">
        <v>112</v>
      </c>
      <c r="D843" t="s">
        <v>12</v>
      </c>
      <c r="E843" s="1">
        <v>45394</v>
      </c>
      <c r="J843">
        <v>65</v>
      </c>
      <c r="K843">
        <v>82</v>
      </c>
    </row>
    <row r="844" spans="1:11" x14ac:dyDescent="0.3">
      <c r="A844" t="s">
        <v>816</v>
      </c>
      <c r="B844" t="s">
        <v>817</v>
      </c>
      <c r="C844">
        <v>107</v>
      </c>
      <c r="D844" t="s">
        <v>28</v>
      </c>
      <c r="E844" s="1">
        <v>44729</v>
      </c>
      <c r="J844">
        <v>69</v>
      </c>
      <c r="K844">
        <v>85</v>
      </c>
    </row>
    <row r="845" spans="1:11" x14ac:dyDescent="0.3">
      <c r="A845" t="s">
        <v>244</v>
      </c>
      <c r="B845" t="s">
        <v>245</v>
      </c>
      <c r="C845">
        <v>120</v>
      </c>
      <c r="D845" t="s">
        <v>28</v>
      </c>
      <c r="E845" s="1">
        <v>45243</v>
      </c>
      <c r="J845">
        <v>78</v>
      </c>
      <c r="K845">
        <v>97</v>
      </c>
    </row>
    <row r="846" spans="1:11" x14ac:dyDescent="0.3">
      <c r="A846" t="s">
        <v>1684</v>
      </c>
      <c r="B846" t="s">
        <v>1685</v>
      </c>
      <c r="C846">
        <v>124</v>
      </c>
      <c r="D846" t="s">
        <v>15</v>
      </c>
      <c r="E846" s="1">
        <v>44666</v>
      </c>
      <c r="J846">
        <v>40</v>
      </c>
      <c r="K846">
        <v>42</v>
      </c>
    </row>
    <row r="847" spans="1:11" x14ac:dyDescent="0.3">
      <c r="A847" t="s">
        <v>298</v>
      </c>
      <c r="B847" t="s">
        <v>299</v>
      </c>
      <c r="C847">
        <v>99</v>
      </c>
      <c r="D847" t="s">
        <v>18</v>
      </c>
      <c r="E847" s="1">
        <v>45226</v>
      </c>
      <c r="J847">
        <v>75</v>
      </c>
      <c r="K847">
        <v>96</v>
      </c>
    </row>
    <row r="848" spans="1:11" x14ac:dyDescent="0.3">
      <c r="A848" t="s">
        <v>1332</v>
      </c>
      <c r="B848" t="s">
        <v>1333</v>
      </c>
      <c r="C848">
        <v>103</v>
      </c>
      <c r="D848" t="s">
        <v>12</v>
      </c>
      <c r="E848" s="1">
        <v>44834</v>
      </c>
      <c r="J848">
        <v>56</v>
      </c>
      <c r="K848">
        <v>65</v>
      </c>
    </row>
    <row r="849" spans="1:11" x14ac:dyDescent="0.3">
      <c r="A849" t="s">
        <v>194</v>
      </c>
      <c r="B849" t="s">
        <v>195</v>
      </c>
      <c r="C849">
        <v>106</v>
      </c>
      <c r="D849" t="s">
        <v>15</v>
      </c>
      <c r="E849" s="1">
        <v>45044</v>
      </c>
      <c r="J849">
        <v>84</v>
      </c>
      <c r="K849">
        <v>99</v>
      </c>
    </row>
    <row r="850" spans="1:11" x14ac:dyDescent="0.3">
      <c r="A850" t="s">
        <v>1328</v>
      </c>
      <c r="B850" t="s">
        <v>1329</v>
      </c>
      <c r="C850">
        <v>91</v>
      </c>
      <c r="D850" t="s">
        <v>12</v>
      </c>
      <c r="E850" s="1">
        <v>45107</v>
      </c>
      <c r="J850">
        <v>50</v>
      </c>
      <c r="K850">
        <v>65</v>
      </c>
    </row>
    <row r="851" spans="1:11" x14ac:dyDescent="0.3">
      <c r="A851" t="s">
        <v>112</v>
      </c>
      <c r="B851" t="s">
        <v>113</v>
      </c>
      <c r="C851">
        <v>93</v>
      </c>
      <c r="D851" t="s">
        <v>28</v>
      </c>
      <c r="E851" s="1">
        <v>45156</v>
      </c>
      <c r="J851">
        <v>54</v>
      </c>
      <c r="K851">
        <v>54</v>
      </c>
    </row>
    <row r="852" spans="1:11" x14ac:dyDescent="0.3">
      <c r="A852" t="s">
        <v>1082</v>
      </c>
      <c r="B852" t="s">
        <v>1083</v>
      </c>
      <c r="C852">
        <v>104</v>
      </c>
      <c r="D852" t="s">
        <v>28</v>
      </c>
      <c r="E852" s="1">
        <v>45331</v>
      </c>
      <c r="J852">
        <v>59</v>
      </c>
      <c r="K852">
        <v>76</v>
      </c>
    </row>
    <row r="853" spans="1:11" x14ac:dyDescent="0.3">
      <c r="A853" t="s">
        <v>362</v>
      </c>
      <c r="B853" t="s">
        <v>363</v>
      </c>
      <c r="C853">
        <v>113</v>
      </c>
      <c r="D853" t="s">
        <v>25</v>
      </c>
      <c r="E853" s="1">
        <v>44985</v>
      </c>
      <c r="J853">
        <v>91</v>
      </c>
      <c r="K853">
        <v>95</v>
      </c>
    </row>
    <row r="854" spans="1:11" x14ac:dyDescent="0.3">
      <c r="A854" t="s">
        <v>681</v>
      </c>
      <c r="B854" t="s">
        <v>682</v>
      </c>
      <c r="C854">
        <v>129</v>
      </c>
      <c r="D854" t="s">
        <v>28</v>
      </c>
      <c r="E854" s="1">
        <v>44883</v>
      </c>
      <c r="J854">
        <v>74</v>
      </c>
      <c r="K854">
        <v>88</v>
      </c>
    </row>
    <row r="855" spans="1:11" x14ac:dyDescent="0.3">
      <c r="A855" t="s">
        <v>1118</v>
      </c>
      <c r="B855" t="s">
        <v>1119</v>
      </c>
      <c r="C855">
        <v>130</v>
      </c>
      <c r="D855" t="s">
        <v>12</v>
      </c>
      <c r="E855" s="1">
        <v>45238</v>
      </c>
      <c r="J855">
        <v>35</v>
      </c>
      <c r="K855">
        <v>75</v>
      </c>
    </row>
    <row r="856" spans="1:11" x14ac:dyDescent="0.3">
      <c r="A856" t="s">
        <v>717</v>
      </c>
      <c r="B856" t="s">
        <v>718</v>
      </c>
      <c r="C856">
        <v>124</v>
      </c>
      <c r="D856" t="s">
        <v>12</v>
      </c>
      <c r="E856" s="1">
        <v>44701</v>
      </c>
      <c r="J856">
        <v>63</v>
      </c>
      <c r="K856">
        <v>87</v>
      </c>
    </row>
    <row r="857" spans="1:11" x14ac:dyDescent="0.3">
      <c r="A857" t="s">
        <v>1490</v>
      </c>
      <c r="B857" t="s">
        <v>1491</v>
      </c>
      <c r="C857">
        <v>104</v>
      </c>
      <c r="D857" t="s">
        <v>12</v>
      </c>
      <c r="E857" s="1">
        <v>45534</v>
      </c>
      <c r="J857">
        <v>43</v>
      </c>
      <c r="K857">
        <v>55</v>
      </c>
    </row>
    <row r="858" spans="1:11" x14ac:dyDescent="0.3">
      <c r="A858" t="s">
        <v>1342</v>
      </c>
      <c r="B858" t="s">
        <v>1343</v>
      </c>
      <c r="C858">
        <v>91</v>
      </c>
      <c r="D858" t="s">
        <v>12</v>
      </c>
      <c r="E858" s="1">
        <v>45247</v>
      </c>
      <c r="J858">
        <v>53</v>
      </c>
      <c r="K858">
        <v>64</v>
      </c>
    </row>
    <row r="859" spans="1:11" x14ac:dyDescent="0.3">
      <c r="A859" t="s">
        <v>505</v>
      </c>
      <c r="B859" t="s">
        <v>506</v>
      </c>
      <c r="C859">
        <v>144</v>
      </c>
      <c r="D859" t="s">
        <v>63</v>
      </c>
      <c r="E859" s="1">
        <v>45582</v>
      </c>
      <c r="J859">
        <v>73</v>
      </c>
      <c r="K859">
        <v>92</v>
      </c>
    </row>
    <row r="860" spans="1:11" x14ac:dyDescent="0.3">
      <c r="A860" t="s">
        <v>1004</v>
      </c>
      <c r="B860" t="s">
        <v>1005</v>
      </c>
      <c r="C860">
        <v>115</v>
      </c>
      <c r="D860" t="s">
        <v>15</v>
      </c>
      <c r="E860" s="1">
        <v>45399</v>
      </c>
      <c r="J860">
        <v>58</v>
      </c>
      <c r="K860">
        <v>79</v>
      </c>
    </row>
    <row r="861" spans="1:11" x14ac:dyDescent="0.3">
      <c r="A861" t="s">
        <v>954</v>
      </c>
      <c r="B861" t="s">
        <v>955</v>
      </c>
      <c r="C861">
        <v>118</v>
      </c>
      <c r="D861" t="s">
        <v>28</v>
      </c>
      <c r="E861" s="1">
        <v>45198</v>
      </c>
      <c r="J861">
        <v>60</v>
      </c>
      <c r="K861">
        <v>81</v>
      </c>
    </row>
    <row r="862" spans="1:11" x14ac:dyDescent="0.3">
      <c r="A862" t="s">
        <v>262</v>
      </c>
      <c r="B862" t="s">
        <v>263</v>
      </c>
      <c r="C862">
        <v>115</v>
      </c>
      <c r="D862" t="s">
        <v>15</v>
      </c>
      <c r="E862" s="1">
        <v>44869</v>
      </c>
      <c r="J862">
        <v>69</v>
      </c>
      <c r="K862">
        <v>97</v>
      </c>
    </row>
    <row r="863" spans="1:11" x14ac:dyDescent="0.3">
      <c r="A863" t="s">
        <v>751</v>
      </c>
      <c r="B863" t="s">
        <v>752</v>
      </c>
      <c r="C863">
        <v>87</v>
      </c>
      <c r="D863" t="s">
        <v>15</v>
      </c>
      <c r="E863" s="1">
        <v>45149</v>
      </c>
      <c r="J863">
        <v>57</v>
      </c>
      <c r="K863">
        <v>86</v>
      </c>
    </row>
    <row r="864" spans="1:11" x14ac:dyDescent="0.3">
      <c r="A864" t="s">
        <v>1200</v>
      </c>
      <c r="B864" t="s">
        <v>1201</v>
      </c>
      <c r="C864">
        <v>105</v>
      </c>
      <c r="D864" t="s">
        <v>12</v>
      </c>
      <c r="E864" s="1">
        <v>44771</v>
      </c>
      <c r="J864">
        <v>56</v>
      </c>
      <c r="K864">
        <v>72</v>
      </c>
    </row>
    <row r="865" spans="1:11" x14ac:dyDescent="0.3">
      <c r="A865" t="s">
        <v>182</v>
      </c>
      <c r="B865" t="s">
        <v>183</v>
      </c>
      <c r="C865">
        <v>80</v>
      </c>
      <c r="D865" t="s">
        <v>18</v>
      </c>
      <c r="E865" s="1">
        <v>44909</v>
      </c>
      <c r="J865">
        <v>78</v>
      </c>
      <c r="K865">
        <v>100</v>
      </c>
    </row>
    <row r="866" spans="1:11" x14ac:dyDescent="0.3">
      <c r="A866" t="s">
        <v>428</v>
      </c>
      <c r="B866" t="s">
        <v>429</v>
      </c>
      <c r="C866">
        <v>129</v>
      </c>
      <c r="D866" t="s">
        <v>28</v>
      </c>
      <c r="E866" s="1">
        <v>44720</v>
      </c>
      <c r="J866">
        <v>77</v>
      </c>
      <c r="K866">
        <v>94</v>
      </c>
    </row>
    <row r="867" spans="1:11" x14ac:dyDescent="0.3">
      <c r="A867" t="s">
        <v>574</v>
      </c>
      <c r="B867" t="s">
        <v>575</v>
      </c>
      <c r="C867">
        <v>98</v>
      </c>
      <c r="D867" t="s">
        <v>15</v>
      </c>
      <c r="E867" s="1">
        <v>44785</v>
      </c>
      <c r="J867">
        <v>77</v>
      </c>
      <c r="K867">
        <v>91</v>
      </c>
    </row>
    <row r="868" spans="1:11" x14ac:dyDescent="0.3">
      <c r="A868" t="s">
        <v>350</v>
      </c>
      <c r="B868" t="s">
        <v>351</v>
      </c>
      <c r="C868">
        <v>99</v>
      </c>
      <c r="D868" t="s">
        <v>12</v>
      </c>
      <c r="E868" s="1">
        <v>45140</v>
      </c>
      <c r="J868">
        <v>74</v>
      </c>
      <c r="K868">
        <v>95</v>
      </c>
    </row>
    <row r="869" spans="1:11" x14ac:dyDescent="0.3">
      <c r="A869" t="s">
        <v>26</v>
      </c>
      <c r="B869" t="s">
        <v>27</v>
      </c>
      <c r="C869">
        <v>93</v>
      </c>
      <c r="D869" t="s">
        <v>28</v>
      </c>
      <c r="E869" s="1">
        <v>45520</v>
      </c>
      <c r="J869">
        <v>78</v>
      </c>
      <c r="K869">
        <v>96</v>
      </c>
    </row>
    <row r="870" spans="1:11" x14ac:dyDescent="0.3">
      <c r="A870" t="s">
        <v>1086</v>
      </c>
      <c r="B870" t="s">
        <v>1087</v>
      </c>
      <c r="C870">
        <v>91</v>
      </c>
      <c r="D870" t="s">
        <v>15</v>
      </c>
      <c r="E870" s="1">
        <v>45184</v>
      </c>
      <c r="J870">
        <v>55</v>
      </c>
      <c r="K870">
        <v>76</v>
      </c>
    </row>
    <row r="871" spans="1:11" x14ac:dyDescent="0.3">
      <c r="A871" t="s">
        <v>70</v>
      </c>
      <c r="B871" t="s">
        <v>71</v>
      </c>
      <c r="C871">
        <v>117</v>
      </c>
      <c r="D871" t="s">
        <v>63</v>
      </c>
      <c r="E871" s="1">
        <v>45030</v>
      </c>
      <c r="J871">
        <v>48</v>
      </c>
      <c r="K871">
        <v>82</v>
      </c>
    </row>
    <row r="872" spans="1:11" x14ac:dyDescent="0.3">
      <c r="A872" t="s">
        <v>226</v>
      </c>
      <c r="B872" t="s">
        <v>227</v>
      </c>
      <c r="C872">
        <v>85</v>
      </c>
      <c r="D872" t="s">
        <v>12</v>
      </c>
      <c r="E872" s="1">
        <v>45583</v>
      </c>
      <c r="J872">
        <v>68</v>
      </c>
      <c r="K872">
        <v>97</v>
      </c>
    </row>
    <row r="873" spans="1:11" x14ac:dyDescent="0.3">
      <c r="A873" t="s">
        <v>358</v>
      </c>
      <c r="B873" t="s">
        <v>359</v>
      </c>
      <c r="C873">
        <v>98</v>
      </c>
      <c r="D873" t="s">
        <v>15</v>
      </c>
      <c r="E873" s="1">
        <v>45050</v>
      </c>
      <c r="J873">
        <v>82</v>
      </c>
      <c r="K873">
        <v>95</v>
      </c>
    </row>
    <row r="874" spans="1:11" x14ac:dyDescent="0.3">
      <c r="A874" t="s">
        <v>1040</v>
      </c>
      <c r="B874" t="s">
        <v>1041</v>
      </c>
      <c r="C874">
        <v>103</v>
      </c>
      <c r="D874" t="s">
        <v>15</v>
      </c>
      <c r="E874" s="1">
        <v>45575</v>
      </c>
      <c r="J874">
        <v>55</v>
      </c>
      <c r="K874">
        <v>77</v>
      </c>
    </row>
    <row r="875" spans="1:11" x14ac:dyDescent="0.3">
      <c r="A875" t="s">
        <v>1851</v>
      </c>
      <c r="B875" t="s">
        <v>1852</v>
      </c>
      <c r="C875">
        <v>118</v>
      </c>
      <c r="D875" t="s">
        <v>15</v>
      </c>
      <c r="E875" s="1">
        <v>45275</v>
      </c>
      <c r="J875">
        <v>39</v>
      </c>
      <c r="K875">
        <v>29</v>
      </c>
    </row>
    <row r="876" spans="1:11" x14ac:dyDescent="0.3">
      <c r="A876" t="s">
        <v>1136</v>
      </c>
      <c r="B876" t="s">
        <v>1137</v>
      </c>
      <c r="C876">
        <v>112</v>
      </c>
      <c r="D876" t="s">
        <v>28</v>
      </c>
      <c r="E876" s="1">
        <v>44897</v>
      </c>
      <c r="J876">
        <v>55</v>
      </c>
      <c r="K876">
        <v>74</v>
      </c>
    </row>
    <row r="877" spans="1:11" x14ac:dyDescent="0.3">
      <c r="A877" t="s">
        <v>996</v>
      </c>
      <c r="B877" t="s">
        <v>997</v>
      </c>
      <c r="C877">
        <v>108</v>
      </c>
      <c r="D877" t="s">
        <v>28</v>
      </c>
      <c r="E877" s="1">
        <v>45583</v>
      </c>
      <c r="J877">
        <v>59</v>
      </c>
      <c r="K877">
        <v>79</v>
      </c>
    </row>
    <row r="878" spans="1:11" x14ac:dyDescent="0.3">
      <c r="A878" t="s">
        <v>482</v>
      </c>
      <c r="B878" t="s">
        <v>483</v>
      </c>
      <c r="C878">
        <v>103</v>
      </c>
      <c r="D878" t="s">
        <v>28</v>
      </c>
      <c r="E878" s="1">
        <v>44820</v>
      </c>
      <c r="J878">
        <v>76</v>
      </c>
      <c r="K878">
        <v>93</v>
      </c>
    </row>
    <row r="879" spans="1:11" x14ac:dyDescent="0.3">
      <c r="A879" t="s">
        <v>727</v>
      </c>
      <c r="B879" t="s">
        <v>728</v>
      </c>
      <c r="C879">
        <v>119</v>
      </c>
      <c r="D879" t="s">
        <v>28</v>
      </c>
      <c r="E879" s="1">
        <v>45649</v>
      </c>
      <c r="J879">
        <v>74</v>
      </c>
      <c r="K879">
        <v>86</v>
      </c>
    </row>
    <row r="880" spans="1:11" x14ac:dyDescent="0.3">
      <c r="A880" t="s">
        <v>1444</v>
      </c>
      <c r="B880" t="s">
        <v>1445</v>
      </c>
      <c r="C880">
        <v>123</v>
      </c>
      <c r="D880" t="s">
        <v>15</v>
      </c>
      <c r="E880" s="1">
        <v>45285</v>
      </c>
      <c r="J880">
        <v>54</v>
      </c>
      <c r="K880">
        <v>57</v>
      </c>
    </row>
    <row r="881" spans="1:11" x14ac:dyDescent="0.3">
      <c r="A881" t="s">
        <v>856</v>
      </c>
      <c r="B881" t="s">
        <v>857</v>
      </c>
      <c r="C881">
        <v>93</v>
      </c>
      <c r="D881" t="s">
        <v>12</v>
      </c>
      <c r="E881" s="1">
        <v>45576</v>
      </c>
      <c r="J881">
        <v>63</v>
      </c>
      <c r="K881">
        <v>83</v>
      </c>
    </row>
    <row r="882" spans="1:11" x14ac:dyDescent="0.3">
      <c r="A882" t="s">
        <v>394</v>
      </c>
      <c r="B882" t="s">
        <v>395</v>
      </c>
      <c r="C882">
        <v>107</v>
      </c>
      <c r="D882" t="s">
        <v>15</v>
      </c>
      <c r="E882" s="1">
        <v>45373</v>
      </c>
      <c r="J882">
        <v>74</v>
      </c>
      <c r="K882">
        <v>94</v>
      </c>
    </row>
    <row r="883" spans="1:11" x14ac:dyDescent="0.3">
      <c r="A883" t="s">
        <v>1316</v>
      </c>
      <c r="B883" t="s">
        <v>1317</v>
      </c>
      <c r="C883">
        <v>113</v>
      </c>
      <c r="D883" t="s">
        <v>28</v>
      </c>
      <c r="E883" s="1">
        <v>45338</v>
      </c>
      <c r="J883">
        <v>57</v>
      </c>
      <c r="K883">
        <v>66</v>
      </c>
    </row>
    <row r="884" spans="1:11" x14ac:dyDescent="0.3">
      <c r="A884" t="s">
        <v>268</v>
      </c>
      <c r="B884" t="s">
        <v>269</v>
      </c>
      <c r="C884">
        <v>116</v>
      </c>
      <c r="D884" t="s">
        <v>25</v>
      </c>
      <c r="E884" s="1">
        <v>44687</v>
      </c>
      <c r="J884">
        <v>89</v>
      </c>
      <c r="K884">
        <v>97</v>
      </c>
    </row>
    <row r="885" spans="1:11" x14ac:dyDescent="0.3">
      <c r="A885" t="s">
        <v>462</v>
      </c>
      <c r="B885" t="s">
        <v>463</v>
      </c>
      <c r="C885">
        <v>117</v>
      </c>
      <c r="D885" t="s">
        <v>28</v>
      </c>
      <c r="E885" s="1">
        <v>45282</v>
      </c>
      <c r="J885">
        <v>81</v>
      </c>
      <c r="K885">
        <v>93</v>
      </c>
    </row>
    <row r="886" spans="1:11" x14ac:dyDescent="0.3">
      <c r="A886" t="s">
        <v>280</v>
      </c>
      <c r="B886" t="s">
        <v>281</v>
      </c>
      <c r="C886">
        <v>105</v>
      </c>
      <c r="D886" t="s">
        <v>28</v>
      </c>
      <c r="E886" s="1">
        <v>45506</v>
      </c>
      <c r="J886">
        <v>76</v>
      </c>
      <c r="K886">
        <v>96</v>
      </c>
    </row>
    <row r="887" spans="1:11" x14ac:dyDescent="0.3">
      <c r="A887" t="s">
        <v>966</v>
      </c>
      <c r="B887" t="s">
        <v>967</v>
      </c>
      <c r="C887">
        <v>110</v>
      </c>
      <c r="D887" t="s">
        <v>28</v>
      </c>
      <c r="E887" s="1">
        <v>45814</v>
      </c>
      <c r="J887">
        <v>64</v>
      </c>
      <c r="K887">
        <v>80</v>
      </c>
    </row>
    <row r="888" spans="1:11" x14ac:dyDescent="0.3">
      <c r="A888" t="s">
        <v>1710</v>
      </c>
      <c r="B888" t="s">
        <v>1711</v>
      </c>
      <c r="C888">
        <v>117</v>
      </c>
      <c r="D888" t="s">
        <v>12</v>
      </c>
      <c r="E888" s="1">
        <v>44883</v>
      </c>
      <c r="J888">
        <v>40</v>
      </c>
      <c r="K888">
        <v>40</v>
      </c>
    </row>
    <row r="889" spans="1:11" x14ac:dyDescent="0.3">
      <c r="A889" t="s">
        <v>314</v>
      </c>
      <c r="B889" t="s">
        <v>315</v>
      </c>
      <c r="C889">
        <v>130</v>
      </c>
      <c r="D889" t="s">
        <v>15</v>
      </c>
      <c r="E889" s="1">
        <v>44862</v>
      </c>
      <c r="J889">
        <v>77</v>
      </c>
      <c r="K889">
        <v>96</v>
      </c>
    </row>
    <row r="890" spans="1:11" x14ac:dyDescent="0.3">
      <c r="A890" t="s">
        <v>875</v>
      </c>
      <c r="B890" t="s">
        <v>876</v>
      </c>
      <c r="C890">
        <v>173</v>
      </c>
      <c r="D890" t="s">
        <v>18</v>
      </c>
      <c r="E890" s="1">
        <v>44948</v>
      </c>
      <c r="J890">
        <v>56</v>
      </c>
      <c r="K890">
        <v>83</v>
      </c>
    </row>
    <row r="891" spans="1:11" x14ac:dyDescent="0.3">
      <c r="A891" t="s">
        <v>1060</v>
      </c>
      <c r="B891" t="s">
        <v>1061</v>
      </c>
      <c r="C891">
        <v>101</v>
      </c>
      <c r="D891" t="s">
        <v>15</v>
      </c>
      <c r="E891" s="1">
        <v>44610</v>
      </c>
      <c r="J891">
        <v>61</v>
      </c>
      <c r="K891">
        <v>77</v>
      </c>
    </row>
    <row r="892" spans="1:11" x14ac:dyDescent="0.3">
      <c r="A892" t="s">
        <v>982</v>
      </c>
      <c r="B892" t="s">
        <v>983</v>
      </c>
      <c r="C892">
        <v>115</v>
      </c>
      <c r="D892" t="s">
        <v>28</v>
      </c>
      <c r="E892" s="1">
        <v>45414</v>
      </c>
      <c r="J892">
        <v>67</v>
      </c>
      <c r="K892">
        <v>80</v>
      </c>
    </row>
    <row r="893" spans="1:11" x14ac:dyDescent="0.3">
      <c r="A893" t="s">
        <v>444</v>
      </c>
      <c r="B893" t="s">
        <v>445</v>
      </c>
      <c r="C893">
        <v>109</v>
      </c>
      <c r="D893" t="s">
        <v>15</v>
      </c>
      <c r="E893" s="1">
        <v>45651</v>
      </c>
      <c r="J893">
        <v>76</v>
      </c>
      <c r="K893">
        <v>93</v>
      </c>
    </row>
    <row r="894" spans="1:11" x14ac:dyDescent="0.3">
      <c r="A894" t="s">
        <v>560</v>
      </c>
      <c r="B894" t="s">
        <v>561</v>
      </c>
      <c r="C894">
        <v>93</v>
      </c>
      <c r="D894" t="s">
        <v>15</v>
      </c>
      <c r="E894" s="1">
        <v>45072</v>
      </c>
      <c r="J894">
        <v>67</v>
      </c>
      <c r="K894">
        <v>91</v>
      </c>
    </row>
    <row r="895" spans="1:11" x14ac:dyDescent="0.3">
      <c r="A895" t="s">
        <v>184</v>
      </c>
      <c r="B895" t="s">
        <v>185</v>
      </c>
      <c r="C895">
        <v>83</v>
      </c>
      <c r="D895" t="s">
        <v>15</v>
      </c>
      <c r="E895" s="1">
        <v>44841</v>
      </c>
      <c r="J895">
        <v>73</v>
      </c>
      <c r="K895">
        <v>100</v>
      </c>
    </row>
    <row r="896" spans="1:11" x14ac:dyDescent="0.3">
      <c r="A896" t="s">
        <v>344</v>
      </c>
      <c r="B896" t="s">
        <v>345</v>
      </c>
      <c r="C896">
        <v>131</v>
      </c>
      <c r="D896" t="s">
        <v>18</v>
      </c>
      <c r="E896" s="1">
        <v>45380</v>
      </c>
      <c r="J896">
        <v>91</v>
      </c>
      <c r="K896">
        <v>95</v>
      </c>
    </row>
    <row r="897" spans="1:11" x14ac:dyDescent="0.3">
      <c r="A897" t="s">
        <v>476</v>
      </c>
      <c r="B897" t="s">
        <v>477</v>
      </c>
      <c r="C897">
        <v>129</v>
      </c>
      <c r="D897" t="s">
        <v>15</v>
      </c>
      <c r="E897" s="1">
        <v>44869</v>
      </c>
      <c r="J897">
        <v>64</v>
      </c>
      <c r="K897">
        <v>93</v>
      </c>
    </row>
    <row r="898" spans="1:11" x14ac:dyDescent="0.3">
      <c r="A898" t="s">
        <v>1464</v>
      </c>
      <c r="B898" t="s">
        <v>1465</v>
      </c>
      <c r="C898">
        <v>118</v>
      </c>
      <c r="D898" t="s">
        <v>12</v>
      </c>
      <c r="E898" s="1">
        <v>45646</v>
      </c>
      <c r="J898">
        <v>56</v>
      </c>
      <c r="K898">
        <v>56</v>
      </c>
    </row>
    <row r="899" spans="1:11" x14ac:dyDescent="0.3">
      <c r="A899" t="s">
        <v>741</v>
      </c>
      <c r="B899" t="s">
        <v>742</v>
      </c>
      <c r="C899">
        <v>134</v>
      </c>
      <c r="D899" t="s">
        <v>18</v>
      </c>
      <c r="E899" s="1">
        <v>45436</v>
      </c>
      <c r="J899">
        <v>75</v>
      </c>
      <c r="K899">
        <v>86</v>
      </c>
    </row>
    <row r="900" spans="1:11" x14ac:dyDescent="0.3">
      <c r="A900" t="s">
        <v>420</v>
      </c>
      <c r="B900" t="s">
        <v>421</v>
      </c>
      <c r="C900">
        <v>115</v>
      </c>
      <c r="D900" t="s">
        <v>12</v>
      </c>
      <c r="E900" s="1">
        <v>44757</v>
      </c>
      <c r="J900">
        <v>70</v>
      </c>
      <c r="K900">
        <v>94</v>
      </c>
    </row>
    <row r="901" spans="1:11" x14ac:dyDescent="0.3">
      <c r="A901" t="s">
        <v>422</v>
      </c>
      <c r="B901" t="s">
        <v>423</v>
      </c>
      <c r="C901">
        <v>115</v>
      </c>
      <c r="D901" t="s">
        <v>12</v>
      </c>
      <c r="E901" s="1">
        <v>44750</v>
      </c>
      <c r="J901">
        <v>74</v>
      </c>
      <c r="K901">
        <v>94</v>
      </c>
    </row>
    <row r="902" spans="1:11" x14ac:dyDescent="0.3">
      <c r="A902" t="s">
        <v>1156</v>
      </c>
      <c r="B902" t="s">
        <v>1157</v>
      </c>
      <c r="C902">
        <v>83</v>
      </c>
      <c r="D902" t="s">
        <v>12</v>
      </c>
      <c r="E902" s="1">
        <v>45282</v>
      </c>
      <c r="J902">
        <v>56</v>
      </c>
      <c r="K902">
        <v>73</v>
      </c>
    </row>
    <row r="903" spans="1:11" x14ac:dyDescent="0.3">
      <c r="A903" t="s">
        <v>1520</v>
      </c>
      <c r="B903" t="s">
        <v>1521</v>
      </c>
      <c r="C903">
        <v>114</v>
      </c>
      <c r="D903" t="s">
        <v>15</v>
      </c>
      <c r="E903" s="1">
        <v>44890</v>
      </c>
      <c r="J903">
        <v>41</v>
      </c>
      <c r="K903">
        <v>53</v>
      </c>
    </row>
    <row r="904" spans="1:11" x14ac:dyDescent="0.3">
      <c r="A904" t="s">
        <v>910</v>
      </c>
      <c r="B904" t="s">
        <v>911</v>
      </c>
      <c r="C904">
        <v>102</v>
      </c>
      <c r="D904" t="s">
        <v>12</v>
      </c>
      <c r="E904" s="1">
        <v>45251</v>
      </c>
      <c r="J904">
        <v>65</v>
      </c>
      <c r="K904">
        <v>82</v>
      </c>
    </row>
    <row r="905" spans="1:11" x14ac:dyDescent="0.3">
      <c r="A905" t="s">
        <v>1306</v>
      </c>
      <c r="B905" t="s">
        <v>1307</v>
      </c>
      <c r="C905">
        <v>96</v>
      </c>
      <c r="D905" t="s">
        <v>15</v>
      </c>
      <c r="E905" s="1">
        <v>44729</v>
      </c>
      <c r="J905">
        <v>52</v>
      </c>
      <c r="K905">
        <v>67</v>
      </c>
    </row>
    <row r="906" spans="1:11" x14ac:dyDescent="0.3">
      <c r="A906" t="s">
        <v>596</v>
      </c>
      <c r="B906" t="s">
        <v>597</v>
      </c>
      <c r="C906">
        <v>90</v>
      </c>
      <c r="D906" t="s">
        <v>25</v>
      </c>
      <c r="E906" s="1">
        <v>45337</v>
      </c>
      <c r="J906">
        <v>70</v>
      </c>
      <c r="K906">
        <v>90</v>
      </c>
    </row>
    <row r="907" spans="1:11" x14ac:dyDescent="0.3">
      <c r="A907" t="s">
        <v>507</v>
      </c>
      <c r="B907" t="s">
        <v>508</v>
      </c>
      <c r="C907">
        <v>83</v>
      </c>
      <c r="D907" t="s">
        <v>28</v>
      </c>
      <c r="E907" s="1">
        <v>45517</v>
      </c>
      <c r="J907">
        <v>71</v>
      </c>
      <c r="K907">
        <v>92</v>
      </c>
    </row>
    <row r="908" spans="1:11" x14ac:dyDescent="0.3">
      <c r="A908" t="s">
        <v>883</v>
      </c>
      <c r="B908" t="s">
        <v>884</v>
      </c>
      <c r="C908">
        <v>93</v>
      </c>
      <c r="D908" t="s">
        <v>63</v>
      </c>
      <c r="E908" s="1">
        <v>44680</v>
      </c>
      <c r="J908">
        <v>56</v>
      </c>
      <c r="K908">
        <v>83</v>
      </c>
    </row>
    <row r="909" spans="1:11" x14ac:dyDescent="0.3">
      <c r="A909" t="s">
        <v>773</v>
      </c>
      <c r="B909" t="s">
        <v>774</v>
      </c>
      <c r="C909">
        <v>122</v>
      </c>
      <c r="D909" t="s">
        <v>15</v>
      </c>
      <c r="E909" s="1">
        <v>45702</v>
      </c>
      <c r="J909">
        <v>64</v>
      </c>
      <c r="K909">
        <v>85</v>
      </c>
    </row>
    <row r="910" spans="1:11" x14ac:dyDescent="0.3">
      <c r="A910" t="s">
        <v>290</v>
      </c>
      <c r="B910" t="s">
        <v>291</v>
      </c>
      <c r="C910">
        <v>105</v>
      </c>
      <c r="D910" t="s">
        <v>28</v>
      </c>
      <c r="E910" s="1">
        <v>45282</v>
      </c>
      <c r="J910">
        <v>90</v>
      </c>
      <c r="K910">
        <v>96</v>
      </c>
    </row>
    <row r="911" spans="1:11" x14ac:dyDescent="0.3">
      <c r="A911" t="s">
        <v>643</v>
      </c>
      <c r="B911" t="s">
        <v>644</v>
      </c>
      <c r="C911">
        <v>111</v>
      </c>
      <c r="D911" t="s">
        <v>15</v>
      </c>
      <c r="E911" s="1">
        <v>44946</v>
      </c>
      <c r="J911">
        <v>66</v>
      </c>
      <c r="K911">
        <v>89</v>
      </c>
    </row>
    <row r="912" spans="1:11" x14ac:dyDescent="0.3">
      <c r="A912" t="s">
        <v>886</v>
      </c>
      <c r="B912" t="s">
        <v>887</v>
      </c>
      <c r="C912">
        <v>89</v>
      </c>
      <c r="D912" t="s">
        <v>12</v>
      </c>
      <c r="E912" s="1">
        <v>45688</v>
      </c>
      <c r="J912">
        <v>66</v>
      </c>
      <c r="K912">
        <v>82</v>
      </c>
    </row>
    <row r="913" spans="1:11" x14ac:dyDescent="0.3">
      <c r="A913" t="s">
        <v>733</v>
      </c>
      <c r="B913" t="s">
        <v>734</v>
      </c>
      <c r="C913">
        <v>97</v>
      </c>
      <c r="D913" t="s">
        <v>12</v>
      </c>
      <c r="E913" s="1">
        <v>45520</v>
      </c>
      <c r="J913">
        <v>70</v>
      </c>
      <c r="K913">
        <v>86</v>
      </c>
    </row>
    <row r="914" spans="1:11" x14ac:dyDescent="0.3">
      <c r="A914" t="s">
        <v>1408</v>
      </c>
      <c r="B914" t="s">
        <v>1409</v>
      </c>
      <c r="C914">
        <v>105</v>
      </c>
      <c r="D914" t="s">
        <v>28</v>
      </c>
      <c r="E914" s="1">
        <v>45006</v>
      </c>
      <c r="J914">
        <v>52</v>
      </c>
      <c r="K914">
        <v>60</v>
      </c>
    </row>
    <row r="915" spans="1:11" x14ac:dyDescent="0.3">
      <c r="A915" t="s">
        <v>458</v>
      </c>
      <c r="B915" t="s">
        <v>459</v>
      </c>
      <c r="C915">
        <v>121</v>
      </c>
      <c r="D915" t="s">
        <v>28</v>
      </c>
      <c r="E915" s="1">
        <v>45534</v>
      </c>
      <c r="J915">
        <v>74</v>
      </c>
      <c r="K915">
        <v>93</v>
      </c>
    </row>
    <row r="916" spans="1:11" x14ac:dyDescent="0.3">
      <c r="A916" t="s">
        <v>326</v>
      </c>
      <c r="B916" t="s">
        <v>327</v>
      </c>
      <c r="C916">
        <v>102</v>
      </c>
      <c r="D916" t="s">
        <v>90</v>
      </c>
      <c r="E916" s="1">
        <v>44632</v>
      </c>
      <c r="J916">
        <v>73</v>
      </c>
      <c r="K916">
        <v>96</v>
      </c>
    </row>
    <row r="917" spans="1:11" x14ac:dyDescent="0.3">
      <c r="A917" t="s">
        <v>57</v>
      </c>
      <c r="B917" t="s">
        <v>58</v>
      </c>
      <c r="C917">
        <v>121</v>
      </c>
      <c r="D917" t="s">
        <v>28</v>
      </c>
      <c r="E917" s="1">
        <v>45401</v>
      </c>
      <c r="J917">
        <v>77</v>
      </c>
      <c r="K917">
        <v>86</v>
      </c>
    </row>
    <row r="918" spans="1:11" x14ac:dyDescent="0.3">
      <c r="A918" t="s">
        <v>294</v>
      </c>
      <c r="B918" t="s">
        <v>295</v>
      </c>
      <c r="C918">
        <v>124</v>
      </c>
      <c r="D918" t="s">
        <v>15</v>
      </c>
      <c r="E918" s="1">
        <v>45268</v>
      </c>
      <c r="J918">
        <v>91</v>
      </c>
      <c r="K918">
        <v>96</v>
      </c>
    </row>
    <row r="919" spans="1:11" x14ac:dyDescent="0.3">
      <c r="A919" t="s">
        <v>410</v>
      </c>
      <c r="B919" t="s">
        <v>411</v>
      </c>
      <c r="C919">
        <v>91</v>
      </c>
      <c r="D919" t="s">
        <v>28</v>
      </c>
      <c r="E919" s="1">
        <v>45044</v>
      </c>
      <c r="J919">
        <v>70</v>
      </c>
      <c r="K919">
        <v>94</v>
      </c>
    </row>
    <row r="920" spans="1:11" x14ac:dyDescent="0.3">
      <c r="A920" t="s">
        <v>232</v>
      </c>
      <c r="B920" t="s">
        <v>233</v>
      </c>
      <c r="C920">
        <v>107</v>
      </c>
      <c r="D920" t="s">
        <v>28</v>
      </c>
      <c r="E920" s="1">
        <v>45506</v>
      </c>
      <c r="J920">
        <v>83</v>
      </c>
      <c r="K920">
        <v>97</v>
      </c>
    </row>
    <row r="921" spans="1:11" x14ac:dyDescent="0.3">
      <c r="A921" t="s">
        <v>765</v>
      </c>
      <c r="B921" t="s">
        <v>766</v>
      </c>
      <c r="C921">
        <v>98</v>
      </c>
      <c r="D921" t="s">
        <v>63</v>
      </c>
      <c r="E921" s="1">
        <v>44771</v>
      </c>
      <c r="J921">
        <v>66</v>
      </c>
      <c r="K921">
        <v>86</v>
      </c>
    </row>
    <row r="922" spans="1:11" x14ac:dyDescent="0.3">
      <c r="A922" t="s">
        <v>924</v>
      </c>
      <c r="B922" t="s">
        <v>925</v>
      </c>
      <c r="C922">
        <v>134</v>
      </c>
      <c r="D922" t="s">
        <v>15</v>
      </c>
      <c r="E922" s="1">
        <v>44888</v>
      </c>
      <c r="J922">
        <v>62</v>
      </c>
      <c r="K922">
        <v>82</v>
      </c>
    </row>
    <row r="923" spans="1:11" x14ac:dyDescent="0.3">
      <c r="A923" t="s">
        <v>170</v>
      </c>
      <c r="B923" t="s">
        <v>171</v>
      </c>
      <c r="C923">
        <v>88</v>
      </c>
      <c r="D923" t="s">
        <v>18</v>
      </c>
      <c r="E923" s="1">
        <v>45415</v>
      </c>
      <c r="J923">
        <v>76</v>
      </c>
      <c r="K923">
        <v>100</v>
      </c>
    </row>
    <row r="924" spans="1:11" x14ac:dyDescent="0.3">
      <c r="A924" t="s">
        <v>152</v>
      </c>
      <c r="B924" t="s">
        <v>153</v>
      </c>
      <c r="C924">
        <v>82</v>
      </c>
      <c r="D924" t="s">
        <v>12</v>
      </c>
      <c r="E924" s="1">
        <v>45660</v>
      </c>
      <c r="J924">
        <v>83</v>
      </c>
      <c r="K924">
        <v>100</v>
      </c>
    </row>
    <row r="925" spans="1:11" x14ac:dyDescent="0.3">
      <c r="A925" t="s">
        <v>330</v>
      </c>
      <c r="B925" t="s">
        <v>331</v>
      </c>
      <c r="C925">
        <v>102</v>
      </c>
      <c r="D925" t="s">
        <v>15</v>
      </c>
      <c r="E925" s="1">
        <v>45779</v>
      </c>
      <c r="J925">
        <v>75</v>
      </c>
      <c r="K925">
        <v>95</v>
      </c>
    </row>
    <row r="926" spans="1:11" x14ac:dyDescent="0.3">
      <c r="A926" t="s">
        <v>1807</v>
      </c>
      <c r="B926" t="s">
        <v>1808</v>
      </c>
      <c r="C926">
        <v>141</v>
      </c>
      <c r="D926" t="s">
        <v>63</v>
      </c>
      <c r="E926" s="1">
        <v>44952</v>
      </c>
      <c r="J926">
        <v>51</v>
      </c>
      <c r="K926">
        <v>32</v>
      </c>
    </row>
    <row r="927" spans="1:11" x14ac:dyDescent="0.3">
      <c r="A927" t="s">
        <v>669</v>
      </c>
      <c r="B927" t="s">
        <v>670</v>
      </c>
      <c r="C927">
        <v>98</v>
      </c>
      <c r="D927" t="s">
        <v>15</v>
      </c>
      <c r="E927" s="1">
        <v>45177</v>
      </c>
      <c r="J927">
        <v>69</v>
      </c>
      <c r="K927">
        <v>88</v>
      </c>
    </row>
    <row r="928" spans="1:11" x14ac:dyDescent="0.3">
      <c r="A928" t="s">
        <v>304</v>
      </c>
      <c r="B928" t="s">
        <v>305</v>
      </c>
      <c r="C928">
        <v>107</v>
      </c>
      <c r="D928" t="s">
        <v>18</v>
      </c>
      <c r="E928" s="1">
        <v>45112</v>
      </c>
      <c r="J928">
        <v>80</v>
      </c>
      <c r="K928">
        <v>96</v>
      </c>
    </row>
    <row r="929" spans="1:11" x14ac:dyDescent="0.3">
      <c r="A929" t="s">
        <v>523</v>
      </c>
      <c r="B929" t="s">
        <v>524</v>
      </c>
      <c r="C929">
        <v>135</v>
      </c>
      <c r="D929" t="s">
        <v>15</v>
      </c>
      <c r="E929" s="1">
        <v>45045</v>
      </c>
      <c r="J929">
        <v>83</v>
      </c>
      <c r="K929">
        <v>92</v>
      </c>
    </row>
    <row r="930" spans="1:11" x14ac:dyDescent="0.3">
      <c r="A930" t="s">
        <v>186</v>
      </c>
      <c r="B930" t="s">
        <v>187</v>
      </c>
      <c r="C930">
        <v>129</v>
      </c>
      <c r="D930" t="s">
        <v>18</v>
      </c>
      <c r="E930" s="1">
        <v>44715</v>
      </c>
      <c r="J930">
        <v>81</v>
      </c>
      <c r="K930">
        <v>100</v>
      </c>
    </row>
    <row r="931" spans="1:11" x14ac:dyDescent="0.3">
      <c r="A931" t="s">
        <v>695</v>
      </c>
      <c r="B931" t="s">
        <v>696</v>
      </c>
      <c r="C931">
        <v>127</v>
      </c>
      <c r="D931" t="s">
        <v>15</v>
      </c>
      <c r="E931" s="1">
        <v>45716</v>
      </c>
      <c r="J931">
        <v>71</v>
      </c>
      <c r="K931">
        <v>87</v>
      </c>
    </row>
    <row r="932" spans="1:11" x14ac:dyDescent="0.3">
      <c r="A932" t="s">
        <v>144</v>
      </c>
      <c r="B932" t="s">
        <v>145</v>
      </c>
      <c r="C932">
        <v>114</v>
      </c>
      <c r="D932" t="s">
        <v>15</v>
      </c>
      <c r="E932" s="1">
        <v>44806</v>
      </c>
      <c r="J932">
        <v>45</v>
      </c>
      <c r="K932">
        <v>19</v>
      </c>
    </row>
    <row r="933" spans="1:11" x14ac:dyDescent="0.3">
      <c r="A933" t="s">
        <v>719</v>
      </c>
      <c r="B933" t="s">
        <v>720</v>
      </c>
      <c r="C933">
        <v>100</v>
      </c>
      <c r="D933" t="s">
        <v>12</v>
      </c>
      <c r="E933" s="1">
        <v>44673</v>
      </c>
      <c r="J933">
        <v>64</v>
      </c>
      <c r="K933">
        <v>87</v>
      </c>
    </row>
    <row r="934" spans="1:11" x14ac:dyDescent="0.3">
      <c r="A934" t="s">
        <v>1244</v>
      </c>
      <c r="B934" t="s">
        <v>1245</v>
      </c>
      <c r="C934">
        <v>107</v>
      </c>
      <c r="D934" t="s">
        <v>15</v>
      </c>
      <c r="E934" s="1">
        <v>45366</v>
      </c>
      <c r="J934">
        <v>54</v>
      </c>
      <c r="K934">
        <v>70</v>
      </c>
    </row>
    <row r="935" spans="1:11" x14ac:dyDescent="0.3">
      <c r="A935" t="s">
        <v>725</v>
      </c>
      <c r="B935" t="s">
        <v>726</v>
      </c>
      <c r="C935">
        <v>91</v>
      </c>
      <c r="D935" t="s">
        <v>12</v>
      </c>
      <c r="E935" s="1">
        <v>45730</v>
      </c>
      <c r="J935">
        <v>69</v>
      </c>
      <c r="K935">
        <v>86</v>
      </c>
    </row>
    <row r="936" spans="1:11" x14ac:dyDescent="0.3">
      <c r="A936" t="s">
        <v>687</v>
      </c>
      <c r="B936" t="s">
        <v>688</v>
      </c>
      <c r="C936">
        <v>118</v>
      </c>
      <c r="D936" t="s">
        <v>15</v>
      </c>
      <c r="E936" s="1">
        <v>44757</v>
      </c>
      <c r="J936">
        <v>70</v>
      </c>
      <c r="K936">
        <v>88</v>
      </c>
    </row>
    <row r="937" spans="1:11" x14ac:dyDescent="0.3">
      <c r="A937" t="s">
        <v>633</v>
      </c>
      <c r="B937" t="s">
        <v>634</v>
      </c>
      <c r="C937">
        <v>132</v>
      </c>
      <c r="D937" t="s">
        <v>28</v>
      </c>
      <c r="E937" s="1">
        <v>45282</v>
      </c>
      <c r="J937">
        <v>73</v>
      </c>
      <c r="K937">
        <v>89</v>
      </c>
    </row>
    <row r="938" spans="1:11" x14ac:dyDescent="0.3">
      <c r="A938" t="s">
        <v>1392</v>
      </c>
      <c r="B938" t="s">
        <v>1393</v>
      </c>
      <c r="C938">
        <v>114</v>
      </c>
      <c r="D938" t="s">
        <v>28</v>
      </c>
      <c r="E938" s="1">
        <v>45212</v>
      </c>
      <c r="J938">
        <v>61</v>
      </c>
      <c r="K938">
        <v>61</v>
      </c>
    </row>
    <row r="939" spans="1:11" x14ac:dyDescent="0.3">
      <c r="A939" t="s">
        <v>264</v>
      </c>
      <c r="B939" t="s">
        <v>265</v>
      </c>
      <c r="C939">
        <v>95</v>
      </c>
      <c r="D939" t="s">
        <v>15</v>
      </c>
      <c r="E939" s="1">
        <v>44694</v>
      </c>
      <c r="J939">
        <v>89</v>
      </c>
      <c r="K939">
        <v>97</v>
      </c>
    </row>
    <row r="940" spans="1:11" x14ac:dyDescent="0.3">
      <c r="A940" t="s">
        <v>1665</v>
      </c>
      <c r="B940" t="s">
        <v>1666</v>
      </c>
      <c r="C940">
        <v>126</v>
      </c>
      <c r="D940" t="s">
        <v>28</v>
      </c>
      <c r="E940" s="1">
        <v>44834</v>
      </c>
      <c r="J940">
        <v>39</v>
      </c>
      <c r="K940">
        <v>43</v>
      </c>
    </row>
    <row r="941" spans="1:11" x14ac:dyDescent="0.3">
      <c r="A941" t="s">
        <v>1462</v>
      </c>
      <c r="B941" t="s">
        <v>1463</v>
      </c>
      <c r="C941">
        <v>127</v>
      </c>
      <c r="D941" t="s">
        <v>15</v>
      </c>
      <c r="E941" s="1">
        <v>45646</v>
      </c>
      <c r="J941">
        <v>51</v>
      </c>
      <c r="K941">
        <v>56</v>
      </c>
    </row>
    <row r="942" spans="1:11" x14ac:dyDescent="0.3">
      <c r="A942" t="s">
        <v>220</v>
      </c>
      <c r="B942" t="s">
        <v>221</v>
      </c>
      <c r="C942">
        <v>167</v>
      </c>
      <c r="D942" t="s">
        <v>15</v>
      </c>
      <c r="E942" s="1">
        <v>45706</v>
      </c>
      <c r="J942">
        <v>84</v>
      </c>
      <c r="K942">
        <v>97</v>
      </c>
    </row>
    <row r="943" spans="1:11" x14ac:dyDescent="0.3">
      <c r="A943" t="s">
        <v>946</v>
      </c>
      <c r="B943" t="s">
        <v>947</v>
      </c>
      <c r="C943">
        <v>81</v>
      </c>
      <c r="D943" t="s">
        <v>862</v>
      </c>
      <c r="E943" s="1">
        <v>45420</v>
      </c>
      <c r="J943">
        <v>72</v>
      </c>
      <c r="K943">
        <v>81</v>
      </c>
    </row>
    <row r="944" spans="1:11" x14ac:dyDescent="0.3">
      <c r="A944" t="s">
        <v>212</v>
      </c>
      <c r="B944" t="s">
        <v>213</v>
      </c>
      <c r="C944">
        <v>98</v>
      </c>
      <c r="D944" t="s">
        <v>12</v>
      </c>
      <c r="E944" s="1">
        <v>44876</v>
      </c>
      <c r="J944">
        <v>84</v>
      </c>
      <c r="K944">
        <v>98</v>
      </c>
    </row>
    <row r="945" spans="1:11" x14ac:dyDescent="0.3">
      <c r="A945" t="s">
        <v>156</v>
      </c>
      <c r="B945" t="s">
        <v>157</v>
      </c>
      <c r="C945">
        <v>99</v>
      </c>
      <c r="D945" t="s">
        <v>15</v>
      </c>
      <c r="E945" s="1">
        <v>45632</v>
      </c>
      <c r="J945">
        <v>87</v>
      </c>
      <c r="K945">
        <v>100</v>
      </c>
    </row>
    <row r="946" spans="1:11" x14ac:dyDescent="0.3">
      <c r="A946" t="s">
        <v>126</v>
      </c>
      <c r="B946" t="s">
        <v>127</v>
      </c>
      <c r="C946">
        <v>129</v>
      </c>
      <c r="D946" t="s">
        <v>15</v>
      </c>
      <c r="E946" s="1">
        <v>45044</v>
      </c>
      <c r="J946">
        <v>45</v>
      </c>
      <c r="K946">
        <v>42</v>
      </c>
    </row>
    <row r="947" spans="1:11" x14ac:dyDescent="0.3">
      <c r="A947" t="s">
        <v>527</v>
      </c>
      <c r="B947" t="s">
        <v>528</v>
      </c>
      <c r="C947">
        <v>151</v>
      </c>
      <c r="D947" t="s">
        <v>15</v>
      </c>
      <c r="E947" s="1">
        <v>44888</v>
      </c>
      <c r="J947">
        <v>85</v>
      </c>
      <c r="K947">
        <v>92</v>
      </c>
    </row>
    <row r="948" spans="1:11" x14ac:dyDescent="0.3">
      <c r="A948" t="s">
        <v>500</v>
      </c>
      <c r="B948" t="s">
        <v>501</v>
      </c>
      <c r="C948">
        <v>123</v>
      </c>
      <c r="D948" t="s">
        <v>25</v>
      </c>
      <c r="E948" s="1">
        <v>45681</v>
      </c>
      <c r="J948">
        <v>82</v>
      </c>
      <c r="K948">
        <v>92</v>
      </c>
    </row>
    <row r="949" spans="1:11" x14ac:dyDescent="0.3">
      <c r="A949" t="s">
        <v>1641</v>
      </c>
      <c r="B949" t="s">
        <v>1642</v>
      </c>
      <c r="C949">
        <v>113</v>
      </c>
      <c r="D949" t="s">
        <v>28</v>
      </c>
      <c r="E949" s="1">
        <v>44869</v>
      </c>
      <c r="J949">
        <v>50</v>
      </c>
      <c r="K949">
        <v>44</v>
      </c>
    </row>
    <row r="950" spans="1:11" x14ac:dyDescent="0.3">
      <c r="A950" t="s">
        <v>938</v>
      </c>
      <c r="B950" t="s">
        <v>939</v>
      </c>
      <c r="C950">
        <v>120</v>
      </c>
      <c r="D950" t="s">
        <v>12</v>
      </c>
      <c r="E950" s="1">
        <v>45723</v>
      </c>
      <c r="J950">
        <v>55</v>
      </c>
      <c r="K950">
        <v>81</v>
      </c>
    </row>
    <row r="951" spans="1:11" x14ac:dyDescent="0.3">
      <c r="A951" t="s">
        <v>416</v>
      </c>
      <c r="B951" t="s">
        <v>417</v>
      </c>
      <c r="C951">
        <v>135</v>
      </c>
      <c r="D951" t="s">
        <v>15</v>
      </c>
      <c r="E951" s="1">
        <v>44820</v>
      </c>
      <c r="J951">
        <v>76</v>
      </c>
      <c r="K951">
        <v>94</v>
      </c>
    </row>
    <row r="952" spans="1:11" x14ac:dyDescent="0.3">
      <c r="A952" t="s">
        <v>616</v>
      </c>
      <c r="B952" t="s">
        <v>617</v>
      </c>
      <c r="C952">
        <v>135</v>
      </c>
      <c r="D952" t="s">
        <v>28</v>
      </c>
      <c r="E952" s="1">
        <v>45667</v>
      </c>
      <c r="J952">
        <v>77</v>
      </c>
      <c r="K952">
        <v>89</v>
      </c>
    </row>
    <row r="953" spans="1:11" x14ac:dyDescent="0.3">
      <c r="A953" t="s">
        <v>566</v>
      </c>
      <c r="B953" t="s">
        <v>567</v>
      </c>
      <c r="C953">
        <v>147</v>
      </c>
      <c r="D953" t="s">
        <v>18</v>
      </c>
      <c r="E953" s="1">
        <v>44909</v>
      </c>
      <c r="J953">
        <v>78</v>
      </c>
      <c r="K953">
        <v>91</v>
      </c>
    </row>
    <row r="954" spans="1:11" x14ac:dyDescent="0.3">
      <c r="A954" t="s">
        <v>958</v>
      </c>
      <c r="B954" t="s">
        <v>959</v>
      </c>
      <c r="C954">
        <v>118</v>
      </c>
      <c r="D954" t="s">
        <v>28</v>
      </c>
      <c r="E954" s="1">
        <v>45016</v>
      </c>
      <c r="J954">
        <v>61</v>
      </c>
      <c r="K954">
        <v>81</v>
      </c>
    </row>
    <row r="955" spans="1:11" x14ac:dyDescent="0.3">
      <c r="A955" t="s">
        <v>216</v>
      </c>
      <c r="B955" t="s">
        <v>217</v>
      </c>
      <c r="C955">
        <v>90</v>
      </c>
      <c r="D955" t="s">
        <v>12</v>
      </c>
      <c r="E955" s="1">
        <v>44757</v>
      </c>
      <c r="J955">
        <v>80</v>
      </c>
      <c r="K955">
        <v>98</v>
      </c>
    </row>
    <row r="956" spans="1:11" x14ac:dyDescent="0.3">
      <c r="A956" t="s">
        <v>1198</v>
      </c>
      <c r="B956" t="s">
        <v>1199</v>
      </c>
      <c r="C956">
        <v>111</v>
      </c>
      <c r="D956" t="s">
        <v>28</v>
      </c>
      <c r="E956" s="1">
        <v>44797</v>
      </c>
      <c r="J956">
        <v>54</v>
      </c>
      <c r="K956">
        <v>72</v>
      </c>
    </row>
    <row r="957" spans="1:11" x14ac:dyDescent="0.3">
      <c r="A957" t="s">
        <v>509</v>
      </c>
      <c r="B957" t="s">
        <v>510</v>
      </c>
      <c r="C957">
        <v>197</v>
      </c>
      <c r="D957" t="s">
        <v>18</v>
      </c>
      <c r="E957" s="1">
        <v>45433</v>
      </c>
      <c r="J957">
        <v>88</v>
      </c>
      <c r="K957">
        <v>92</v>
      </c>
    </row>
    <row r="958" spans="1:11" x14ac:dyDescent="0.3">
      <c r="A958" t="s">
        <v>168</v>
      </c>
      <c r="B958" t="s">
        <v>169</v>
      </c>
      <c r="C958">
        <v>103</v>
      </c>
      <c r="D958" t="s">
        <v>12</v>
      </c>
      <c r="E958" s="1">
        <v>45468</v>
      </c>
      <c r="J958">
        <v>76</v>
      </c>
      <c r="K958">
        <v>100</v>
      </c>
    </row>
    <row r="959" spans="1:11" x14ac:dyDescent="0.3">
      <c r="A959" t="s">
        <v>248</v>
      </c>
      <c r="B959" t="s">
        <v>249</v>
      </c>
      <c r="C959">
        <v>127</v>
      </c>
      <c r="D959" t="s">
        <v>28</v>
      </c>
      <c r="E959" s="1">
        <v>45204</v>
      </c>
      <c r="J959">
        <v>77</v>
      </c>
      <c r="K959">
        <v>97</v>
      </c>
    </row>
    <row r="960" spans="1:11" x14ac:dyDescent="0.3">
      <c r="A960" t="s">
        <v>308</v>
      </c>
      <c r="B960" t="s">
        <v>309</v>
      </c>
      <c r="C960">
        <v>102</v>
      </c>
      <c r="D960" t="s">
        <v>28</v>
      </c>
      <c r="E960" s="1">
        <v>44883</v>
      </c>
      <c r="J960">
        <v>95</v>
      </c>
      <c r="K960">
        <v>96</v>
      </c>
    </row>
    <row r="961" spans="1:11" x14ac:dyDescent="0.3">
      <c r="A961" t="s">
        <v>832</v>
      </c>
      <c r="B961" t="s">
        <v>833</v>
      </c>
      <c r="C961">
        <v>118</v>
      </c>
      <c r="D961" t="s">
        <v>12</v>
      </c>
      <c r="E961" s="1">
        <v>45345</v>
      </c>
      <c r="J961">
        <v>57</v>
      </c>
      <c r="K961">
        <v>84</v>
      </c>
    </row>
    <row r="962" spans="1:11" x14ac:dyDescent="0.3">
      <c r="A962" t="s">
        <v>1637</v>
      </c>
      <c r="B962" t="s">
        <v>1638</v>
      </c>
      <c r="C962">
        <v>126</v>
      </c>
      <c r="D962" t="s">
        <v>12</v>
      </c>
      <c r="E962" s="1">
        <v>45163</v>
      </c>
      <c r="J962">
        <v>48</v>
      </c>
      <c r="K962">
        <v>44</v>
      </c>
    </row>
    <row r="963" spans="1:11" x14ac:dyDescent="0.3">
      <c r="A963" t="s">
        <v>1078</v>
      </c>
      <c r="B963" t="s">
        <v>1079</v>
      </c>
      <c r="C963">
        <v>85</v>
      </c>
      <c r="D963" t="s">
        <v>15</v>
      </c>
      <c r="E963" s="1">
        <v>45443</v>
      </c>
      <c r="J963">
        <v>67</v>
      </c>
      <c r="K963">
        <v>76</v>
      </c>
    </row>
    <row r="964" spans="1:11" x14ac:dyDescent="0.3">
      <c r="A964" t="s">
        <v>1647</v>
      </c>
      <c r="B964" t="s">
        <v>1648</v>
      </c>
      <c r="C964">
        <v>109</v>
      </c>
      <c r="D964" t="s">
        <v>12</v>
      </c>
      <c r="E964" s="1">
        <v>45709</v>
      </c>
      <c r="J964">
        <v>35</v>
      </c>
      <c r="K964">
        <v>43</v>
      </c>
    </row>
    <row r="965" spans="1:11" x14ac:dyDescent="0.3">
      <c r="A965" t="s">
        <v>1575</v>
      </c>
      <c r="B965" t="s">
        <v>1576</v>
      </c>
      <c r="C965">
        <v>105</v>
      </c>
      <c r="D965" t="s">
        <v>862</v>
      </c>
      <c r="E965" s="1">
        <v>44778</v>
      </c>
      <c r="J965">
        <v>48</v>
      </c>
      <c r="K965">
        <v>48</v>
      </c>
    </row>
    <row r="966" spans="1:11" x14ac:dyDescent="0.3">
      <c r="A966" t="s">
        <v>1631</v>
      </c>
      <c r="B966" t="s">
        <v>1632</v>
      </c>
      <c r="C966">
        <v>132</v>
      </c>
      <c r="D966" t="s">
        <v>28</v>
      </c>
      <c r="E966" s="1">
        <v>44904</v>
      </c>
      <c r="J966">
        <v>53</v>
      </c>
      <c r="K966">
        <v>45</v>
      </c>
    </row>
    <row r="967" spans="1:11" x14ac:dyDescent="0.3">
      <c r="A967" t="s">
        <v>541</v>
      </c>
      <c r="B967" t="s">
        <v>542</v>
      </c>
      <c r="C967">
        <v>109</v>
      </c>
      <c r="D967" t="s">
        <v>12</v>
      </c>
      <c r="E967" s="1">
        <v>45509</v>
      </c>
      <c r="J967">
        <v>69</v>
      </c>
      <c r="K967">
        <v>91</v>
      </c>
    </row>
    <row r="968" spans="1:11" x14ac:dyDescent="0.3">
      <c r="A968" t="s">
        <v>568</v>
      </c>
      <c r="B968" t="s">
        <v>569</v>
      </c>
      <c r="C968">
        <v>104</v>
      </c>
      <c r="D968" t="s">
        <v>15</v>
      </c>
      <c r="E968" s="1">
        <v>44866</v>
      </c>
      <c r="J968">
        <v>81</v>
      </c>
      <c r="K968">
        <v>91</v>
      </c>
    </row>
    <row r="969" spans="1:11" x14ac:dyDescent="0.3">
      <c r="A969" t="s">
        <v>594</v>
      </c>
      <c r="B969" t="s">
        <v>595</v>
      </c>
      <c r="C969">
        <v>142</v>
      </c>
      <c r="D969" t="s">
        <v>15</v>
      </c>
      <c r="E969" s="1">
        <v>45359</v>
      </c>
      <c r="J969">
        <v>51</v>
      </c>
      <c r="K969">
        <v>90</v>
      </c>
    </row>
    <row r="970" spans="1:11" x14ac:dyDescent="0.3">
      <c r="A970" t="s">
        <v>180</v>
      </c>
      <c r="B970" t="s">
        <v>181</v>
      </c>
      <c r="C970">
        <v>124</v>
      </c>
      <c r="D970" t="s">
        <v>15</v>
      </c>
      <c r="E970" s="1">
        <v>45135</v>
      </c>
      <c r="J970">
        <v>79</v>
      </c>
      <c r="K970">
        <v>100</v>
      </c>
    </row>
    <row r="971" spans="1:11" x14ac:dyDescent="0.3">
      <c r="A971" t="s">
        <v>292</v>
      </c>
      <c r="B971" t="s">
        <v>293</v>
      </c>
      <c r="C971">
        <v>124</v>
      </c>
      <c r="D971" t="s">
        <v>12</v>
      </c>
      <c r="E971" s="1">
        <v>45281</v>
      </c>
      <c r="J971">
        <v>80</v>
      </c>
      <c r="K971">
        <v>96</v>
      </c>
    </row>
    <row r="972" spans="1:11" x14ac:dyDescent="0.3">
      <c r="A972" t="s">
        <v>300</v>
      </c>
      <c r="B972" t="s">
        <v>301</v>
      </c>
      <c r="C972">
        <v>121</v>
      </c>
      <c r="D972" t="s">
        <v>18</v>
      </c>
      <c r="E972" s="1">
        <v>45176</v>
      </c>
      <c r="J972">
        <v>79</v>
      </c>
      <c r="K972">
        <v>96</v>
      </c>
    </row>
    <row r="973" spans="1:11" x14ac:dyDescent="0.3">
      <c r="A973" t="s">
        <v>158</v>
      </c>
      <c r="B973" t="s">
        <v>159</v>
      </c>
      <c r="C973">
        <v>102</v>
      </c>
      <c r="D973" t="s">
        <v>160</v>
      </c>
      <c r="E973" s="1">
        <v>45618</v>
      </c>
      <c r="J973">
        <v>73</v>
      </c>
      <c r="K973">
        <v>100</v>
      </c>
    </row>
    <row r="974" spans="1:11" x14ac:dyDescent="0.3">
      <c r="A974" t="s">
        <v>176</v>
      </c>
      <c r="B974" t="s">
        <v>177</v>
      </c>
      <c r="C974">
        <v>115</v>
      </c>
      <c r="D974" t="s">
        <v>15</v>
      </c>
      <c r="E974" s="1">
        <v>45258</v>
      </c>
      <c r="J974">
        <v>85</v>
      </c>
      <c r="K974">
        <v>100</v>
      </c>
    </row>
    <row r="975" spans="1:11" x14ac:dyDescent="0.3">
      <c r="A975" t="s">
        <v>316</v>
      </c>
      <c r="B975" t="s">
        <v>317</v>
      </c>
      <c r="C975">
        <v>140</v>
      </c>
      <c r="D975" t="s">
        <v>28</v>
      </c>
      <c r="E975" s="1">
        <v>44855</v>
      </c>
      <c r="J975">
        <v>78</v>
      </c>
      <c r="K975">
        <v>96</v>
      </c>
    </row>
    <row r="976" spans="1:11" x14ac:dyDescent="0.3">
      <c r="A976" t="s">
        <v>1072</v>
      </c>
      <c r="B976" t="s">
        <v>1073</v>
      </c>
      <c r="C976">
        <v>121</v>
      </c>
      <c r="D976" t="s">
        <v>15</v>
      </c>
      <c r="E976" s="1">
        <v>45569</v>
      </c>
      <c r="J976">
        <v>54</v>
      </c>
      <c r="K976">
        <v>76</v>
      </c>
    </row>
    <row r="977" spans="1:11" x14ac:dyDescent="0.3">
      <c r="A977" t="s">
        <v>812</v>
      </c>
      <c r="B977" t="s">
        <v>813</v>
      </c>
      <c r="C977">
        <v>147</v>
      </c>
      <c r="D977" t="s">
        <v>15</v>
      </c>
      <c r="E977" s="1">
        <v>44778</v>
      </c>
      <c r="J977">
        <v>66</v>
      </c>
      <c r="K977">
        <v>85</v>
      </c>
    </row>
    <row r="978" spans="1:11" x14ac:dyDescent="0.3">
      <c r="A978" t="s">
        <v>665</v>
      </c>
      <c r="B978" t="s">
        <v>666</v>
      </c>
      <c r="C978">
        <v>129</v>
      </c>
      <c r="D978" t="s">
        <v>12</v>
      </c>
      <c r="E978" s="1">
        <v>45492</v>
      </c>
      <c r="J978">
        <v>62</v>
      </c>
      <c r="K978">
        <v>88</v>
      </c>
    </row>
    <row r="979" spans="1:11" x14ac:dyDescent="0.3">
      <c r="A979" t="s">
        <v>370</v>
      </c>
      <c r="B979" t="s">
        <v>371</v>
      </c>
      <c r="C979">
        <v>100</v>
      </c>
      <c r="D979" t="s">
        <v>15</v>
      </c>
      <c r="E979" s="1">
        <v>44791</v>
      </c>
      <c r="J979">
        <v>65</v>
      </c>
      <c r="K979">
        <v>95</v>
      </c>
    </row>
    <row r="980" spans="1:11" x14ac:dyDescent="0.3">
      <c r="A980" t="s">
        <v>29</v>
      </c>
      <c r="B980" t="s">
        <v>30</v>
      </c>
      <c r="C980">
        <v>122</v>
      </c>
      <c r="D980" t="s">
        <v>12</v>
      </c>
      <c r="E980" s="1">
        <v>45030</v>
      </c>
      <c r="J980">
        <v>77</v>
      </c>
      <c r="K980">
        <v>96</v>
      </c>
    </row>
    <row r="981" spans="1:11" x14ac:dyDescent="0.3">
      <c r="A981" t="s">
        <v>1416</v>
      </c>
      <c r="B981" t="s">
        <v>1417</v>
      </c>
      <c r="C981">
        <v>115</v>
      </c>
      <c r="D981" t="s">
        <v>28</v>
      </c>
      <c r="E981" s="1">
        <v>45387</v>
      </c>
      <c r="J981">
        <v>45</v>
      </c>
      <c r="K981">
        <v>59</v>
      </c>
    </row>
    <row r="982" spans="1:11" x14ac:dyDescent="0.3">
      <c r="A982" t="s">
        <v>519</v>
      </c>
      <c r="B982" t="s">
        <v>520</v>
      </c>
      <c r="C982">
        <v>101</v>
      </c>
      <c r="D982" t="s">
        <v>12</v>
      </c>
      <c r="E982" s="1">
        <v>45107</v>
      </c>
      <c r="J982">
        <v>75</v>
      </c>
      <c r="K982">
        <v>92</v>
      </c>
    </row>
    <row r="983" spans="1:11" x14ac:dyDescent="0.3">
      <c r="A983" t="s">
        <v>21</v>
      </c>
      <c r="B983" t="s">
        <v>22</v>
      </c>
      <c r="C983">
        <v>137</v>
      </c>
      <c r="D983" t="s">
        <v>15</v>
      </c>
      <c r="E983" s="1">
        <v>45695</v>
      </c>
      <c r="J983">
        <v>85</v>
      </c>
      <c r="K983">
        <v>97</v>
      </c>
    </row>
    <row r="984" spans="1:11" x14ac:dyDescent="0.3">
      <c r="A984" t="s">
        <v>242</v>
      </c>
      <c r="B984" t="s">
        <v>243</v>
      </c>
      <c r="C984">
        <v>127</v>
      </c>
      <c r="D984" t="s">
        <v>15</v>
      </c>
      <c r="E984" s="1">
        <v>45252</v>
      </c>
      <c r="J984">
        <v>79</v>
      </c>
      <c r="K984">
        <v>97</v>
      </c>
    </row>
    <row r="985" spans="1:11" x14ac:dyDescent="0.3">
      <c r="A985" t="s">
        <v>1122</v>
      </c>
      <c r="B985" t="s">
        <v>1123</v>
      </c>
      <c r="C985">
        <v>118</v>
      </c>
      <c r="D985" t="s">
        <v>28</v>
      </c>
      <c r="E985" s="1">
        <v>45149</v>
      </c>
      <c r="J985">
        <v>62</v>
      </c>
      <c r="K985">
        <v>75</v>
      </c>
    </row>
    <row r="986" spans="1:11" x14ac:dyDescent="0.3">
      <c r="A986" t="s">
        <v>99</v>
      </c>
      <c r="B986" t="s">
        <v>100</v>
      </c>
      <c r="C986">
        <v>99</v>
      </c>
      <c r="D986" t="s">
        <v>15</v>
      </c>
      <c r="E986" s="1">
        <v>45086</v>
      </c>
      <c r="J986">
        <v>58</v>
      </c>
      <c r="K986">
        <v>67</v>
      </c>
    </row>
    <row r="987" spans="1:11" x14ac:dyDescent="0.3">
      <c r="A987" t="s">
        <v>1438</v>
      </c>
      <c r="B987" t="s">
        <v>1439</v>
      </c>
      <c r="C987">
        <v>131</v>
      </c>
      <c r="D987" t="s">
        <v>15</v>
      </c>
      <c r="E987" s="1">
        <v>45111</v>
      </c>
      <c r="J987">
        <v>36</v>
      </c>
      <c r="K987">
        <v>58</v>
      </c>
    </row>
    <row r="988" spans="1:11" x14ac:dyDescent="0.3">
      <c r="A988" t="s">
        <v>622</v>
      </c>
      <c r="B988" t="s">
        <v>623</v>
      </c>
      <c r="C988">
        <v>104</v>
      </c>
      <c r="D988" t="s">
        <v>12</v>
      </c>
      <c r="E988" s="1">
        <v>45555</v>
      </c>
      <c r="J988">
        <v>64</v>
      </c>
      <c r="K988">
        <v>89</v>
      </c>
    </row>
    <row r="989" spans="1:11" x14ac:dyDescent="0.3">
      <c r="A989" t="s">
        <v>204</v>
      </c>
      <c r="B989" t="s">
        <v>205</v>
      </c>
      <c r="C989">
        <v>103</v>
      </c>
      <c r="D989" t="s">
        <v>15</v>
      </c>
      <c r="E989" s="1">
        <v>45450</v>
      </c>
      <c r="J989">
        <v>87</v>
      </c>
      <c r="K989">
        <v>98</v>
      </c>
    </row>
    <row r="990" spans="1:11" x14ac:dyDescent="0.3">
      <c r="A990" t="s">
        <v>210</v>
      </c>
      <c r="B990" t="s">
        <v>211</v>
      </c>
      <c r="C990">
        <v>117</v>
      </c>
      <c r="D990" t="s">
        <v>15</v>
      </c>
      <c r="E990" s="1">
        <v>45106</v>
      </c>
      <c r="J990">
        <v>73</v>
      </c>
      <c r="K990">
        <v>98</v>
      </c>
    </row>
    <row r="991" spans="1:11" x14ac:dyDescent="0.3">
      <c r="A991" t="s">
        <v>336</v>
      </c>
      <c r="B991" t="s">
        <v>337</v>
      </c>
      <c r="C991">
        <v>95</v>
      </c>
      <c r="D991" t="s">
        <v>28</v>
      </c>
      <c r="E991" s="1">
        <v>45582</v>
      </c>
      <c r="J991">
        <v>81</v>
      </c>
      <c r="K991">
        <v>95</v>
      </c>
    </row>
    <row r="992" spans="1:11" x14ac:dyDescent="0.3">
      <c r="A992" t="s">
        <v>1815</v>
      </c>
      <c r="B992" t="s">
        <v>1816</v>
      </c>
      <c r="C992">
        <v>122</v>
      </c>
      <c r="D992" t="s">
        <v>90</v>
      </c>
      <c r="E992" s="1">
        <v>44771</v>
      </c>
      <c r="J992">
        <v>30</v>
      </c>
      <c r="K992">
        <v>32</v>
      </c>
    </row>
    <row r="993" spans="1:11" x14ac:dyDescent="0.3">
      <c r="A993" t="s">
        <v>161</v>
      </c>
      <c r="B993" t="s">
        <v>162</v>
      </c>
      <c r="C993">
        <v>58</v>
      </c>
      <c r="D993" t="s">
        <v>163</v>
      </c>
      <c r="E993" s="1">
        <v>45603</v>
      </c>
      <c r="J993">
        <v>90</v>
      </c>
      <c r="K993">
        <v>100</v>
      </c>
    </row>
    <row r="994" spans="1:11" x14ac:dyDescent="0.3">
      <c r="A994" t="s">
        <v>222</v>
      </c>
      <c r="B994" t="s">
        <v>223</v>
      </c>
      <c r="C994">
        <v>85</v>
      </c>
      <c r="D994" t="s">
        <v>12</v>
      </c>
      <c r="E994" s="1">
        <v>45702</v>
      </c>
      <c r="J994">
        <v>87</v>
      </c>
      <c r="K994">
        <v>97</v>
      </c>
    </row>
    <row r="995" spans="1:11" x14ac:dyDescent="0.3">
      <c r="A995" t="s">
        <v>224</v>
      </c>
      <c r="B995" t="s">
        <v>225</v>
      </c>
      <c r="C995">
        <v>103</v>
      </c>
      <c r="D995" t="s">
        <v>15</v>
      </c>
      <c r="E995" s="1">
        <v>45590</v>
      </c>
      <c r="J995">
        <v>78</v>
      </c>
      <c r="K995">
        <v>97</v>
      </c>
    </row>
    <row r="996" spans="1:11" x14ac:dyDescent="0.3">
      <c r="A996" t="s">
        <v>218</v>
      </c>
      <c r="B996" t="s">
        <v>219</v>
      </c>
      <c r="C996">
        <v>112</v>
      </c>
      <c r="D996" t="s">
        <v>15</v>
      </c>
      <c r="E996" s="1">
        <v>44638</v>
      </c>
      <c r="J996">
        <v>71</v>
      </c>
      <c r="K996">
        <v>98</v>
      </c>
    </row>
    <row r="997" spans="1:11" x14ac:dyDescent="0.3">
      <c r="A997" t="s">
        <v>496</v>
      </c>
      <c r="B997" t="s">
        <v>497</v>
      </c>
      <c r="C997">
        <v>143</v>
      </c>
      <c r="D997" t="s">
        <v>18</v>
      </c>
      <c r="E997" s="1">
        <v>45686</v>
      </c>
      <c r="J997">
        <v>59</v>
      </c>
      <c r="K997">
        <v>92</v>
      </c>
    </row>
    <row r="998" spans="1:11" x14ac:dyDescent="0.3">
      <c r="A998" t="s">
        <v>200</v>
      </c>
      <c r="B998" t="s">
        <v>201</v>
      </c>
      <c r="C998">
        <v>125</v>
      </c>
      <c r="D998" t="s">
        <v>160</v>
      </c>
      <c r="E998" s="1">
        <v>45548</v>
      </c>
      <c r="J998">
        <v>74</v>
      </c>
      <c r="K998">
        <v>98</v>
      </c>
    </row>
    <row r="999" spans="1:11" x14ac:dyDescent="0.3">
      <c r="A999" t="s">
        <v>13</v>
      </c>
      <c r="B999" t="s">
        <v>14</v>
      </c>
      <c r="C999">
        <v>169</v>
      </c>
      <c r="D999" t="s">
        <v>15</v>
      </c>
      <c r="E999" s="1">
        <v>45211</v>
      </c>
      <c r="J999">
        <v>82</v>
      </c>
      <c r="K999">
        <v>98</v>
      </c>
    </row>
    <row r="1000" spans="1:11" x14ac:dyDescent="0.3">
      <c r="A1000" t="s">
        <v>206</v>
      </c>
      <c r="B1000" t="s">
        <v>207</v>
      </c>
      <c r="C1000">
        <v>169</v>
      </c>
      <c r="D1000" t="s">
        <v>18</v>
      </c>
      <c r="E1000" s="1">
        <v>45261</v>
      </c>
      <c r="J1000">
        <v>86</v>
      </c>
      <c r="K1000">
        <v>98</v>
      </c>
    </row>
    <row r="1001" spans="1:11" x14ac:dyDescent="0.3">
      <c r="A1001" t="s">
        <v>296</v>
      </c>
      <c r="B1001" t="s">
        <v>297</v>
      </c>
      <c r="C1001">
        <v>125</v>
      </c>
      <c r="D1001" t="s">
        <v>15</v>
      </c>
      <c r="E1001" s="1">
        <v>45233</v>
      </c>
      <c r="J1001">
        <v>70</v>
      </c>
      <c r="K1001">
        <v>96</v>
      </c>
    </row>
  </sheetData>
  <autoFilter ref="A1:K1001" xr:uid="{6F70C12F-6887-4439-9EA3-FD0AAF21AFAA}">
    <sortState xmlns:xlrd2="http://schemas.microsoft.com/office/spreadsheetml/2017/richdata2" ref="A2:K1001">
      <sortCondition descending="1" ref="G1:G100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7BE0C-5918-4CD6-B955-712735BB5BB1}">
  <dimension ref="A1:V1001"/>
  <sheetViews>
    <sheetView tabSelected="1" topLeftCell="M1" zoomScale="210" zoomScaleNormal="210" workbookViewId="0">
      <selection activeCell="O11" sqref="O11"/>
    </sheetView>
  </sheetViews>
  <sheetFormatPr defaultRowHeight="14.4" x14ac:dyDescent="0.3"/>
  <cols>
    <col min="1" max="4" width="0" hidden="1" customWidth="1"/>
    <col min="5" max="5" width="11.5546875" hidden="1" customWidth="1"/>
    <col min="6" max="12" width="0" hidden="1" customWidth="1"/>
    <col min="14" max="14" width="11.5546875" customWidth="1"/>
    <col min="15" max="15" width="38.6640625" customWidth="1"/>
    <col min="18" max="18" width="12.21875" customWidth="1"/>
    <col min="22" max="22" width="11.1093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2016</v>
      </c>
      <c r="H1" t="s">
        <v>7</v>
      </c>
      <c r="I1" t="s">
        <v>8</v>
      </c>
      <c r="J1" t="s">
        <v>5</v>
      </c>
      <c r="K1" t="s">
        <v>9</v>
      </c>
      <c r="M1" t="s">
        <v>2036</v>
      </c>
    </row>
    <row r="2" spans="1:22" x14ac:dyDescent="0.3">
      <c r="A2" t="s">
        <v>356</v>
      </c>
      <c r="B2" t="s">
        <v>357</v>
      </c>
      <c r="C2">
        <v>140</v>
      </c>
      <c r="D2" t="s">
        <v>12</v>
      </c>
      <c r="E2" s="1">
        <v>45079</v>
      </c>
      <c r="F2">
        <v>8.5</v>
      </c>
      <c r="H2">
        <v>8.3330000000000002</v>
      </c>
      <c r="J2">
        <v>86</v>
      </c>
      <c r="K2">
        <v>95</v>
      </c>
      <c r="M2" s="24" t="s">
        <v>2042</v>
      </c>
    </row>
    <row r="3" spans="1:22" x14ac:dyDescent="0.3">
      <c r="A3" t="s">
        <v>296</v>
      </c>
      <c r="B3" t="s">
        <v>297</v>
      </c>
      <c r="C3">
        <v>125</v>
      </c>
      <c r="D3" t="s">
        <v>15</v>
      </c>
      <c r="E3" s="1">
        <v>45233</v>
      </c>
      <c r="F3">
        <v>7.8</v>
      </c>
      <c r="H3">
        <v>8.3219999999999992</v>
      </c>
      <c r="J3">
        <v>70</v>
      </c>
      <c r="K3">
        <v>96</v>
      </c>
    </row>
    <row r="4" spans="1:22" ht="15" thickBot="1" x14ac:dyDescent="0.35">
      <c r="A4" t="s">
        <v>228</v>
      </c>
      <c r="B4" t="s">
        <v>229</v>
      </c>
      <c r="C4">
        <v>102</v>
      </c>
      <c r="D4" t="s">
        <v>12</v>
      </c>
      <c r="E4" s="1">
        <v>45562</v>
      </c>
      <c r="F4">
        <v>8.1999999999999993</v>
      </c>
      <c r="H4">
        <v>8.3070000000000004</v>
      </c>
      <c r="J4">
        <v>85</v>
      </c>
      <c r="K4">
        <v>97</v>
      </c>
    </row>
    <row r="5" spans="1:22" x14ac:dyDescent="0.3">
      <c r="A5" t="s">
        <v>31</v>
      </c>
      <c r="B5" t="s">
        <v>32</v>
      </c>
      <c r="C5">
        <v>102</v>
      </c>
      <c r="D5" t="s">
        <v>12</v>
      </c>
      <c r="E5" s="1">
        <v>44916</v>
      </c>
      <c r="F5">
        <v>7.8</v>
      </c>
      <c r="H5">
        <v>8.2010000000000005</v>
      </c>
      <c r="J5">
        <v>73</v>
      </c>
      <c r="K5">
        <v>95</v>
      </c>
      <c r="N5" s="21" t="s">
        <v>2039</v>
      </c>
      <c r="O5" s="22"/>
      <c r="P5" s="22"/>
      <c r="Q5" s="22"/>
      <c r="R5" s="22"/>
      <c r="S5" s="22" t="s">
        <v>2040</v>
      </c>
      <c r="T5" s="22" t="s">
        <v>2023</v>
      </c>
      <c r="U5" s="22" t="s">
        <v>2041</v>
      </c>
      <c r="V5" s="23" t="s">
        <v>2025</v>
      </c>
    </row>
    <row r="6" spans="1:22" x14ac:dyDescent="0.3">
      <c r="A6" s="18" t="s">
        <v>206</v>
      </c>
      <c r="B6" s="18" t="s">
        <v>207</v>
      </c>
      <c r="C6" s="18">
        <v>169</v>
      </c>
      <c r="D6" s="18" t="s">
        <v>18</v>
      </c>
      <c r="E6" s="19">
        <v>45261</v>
      </c>
      <c r="F6" s="18">
        <v>8.6</v>
      </c>
      <c r="G6" s="18"/>
      <c r="H6" s="18">
        <v>8.1999999999999993</v>
      </c>
      <c r="I6" s="18">
        <v>36</v>
      </c>
      <c r="J6">
        <v>86</v>
      </c>
      <c r="K6">
        <v>98</v>
      </c>
      <c r="N6" s="5" t="s">
        <v>210</v>
      </c>
      <c r="O6" s="25" t="s">
        <v>211</v>
      </c>
      <c r="P6">
        <v>117</v>
      </c>
      <c r="Q6" t="s">
        <v>15</v>
      </c>
      <c r="R6" s="1">
        <v>45106</v>
      </c>
      <c r="S6">
        <v>7.7</v>
      </c>
      <c r="T6">
        <v>1300</v>
      </c>
      <c r="U6">
        <v>8</v>
      </c>
      <c r="V6" s="6">
        <v>12</v>
      </c>
    </row>
    <row r="7" spans="1:22" ht="15" thickBot="1" x14ac:dyDescent="0.35">
      <c r="A7" t="s">
        <v>13</v>
      </c>
      <c r="B7" t="s">
        <v>14</v>
      </c>
      <c r="C7">
        <v>169</v>
      </c>
      <c r="D7" t="s">
        <v>15</v>
      </c>
      <c r="E7" s="1">
        <v>45211</v>
      </c>
      <c r="F7">
        <v>8</v>
      </c>
      <c r="H7">
        <v>8.1890000000000001</v>
      </c>
      <c r="J7">
        <v>82</v>
      </c>
      <c r="K7">
        <v>98</v>
      </c>
      <c r="N7" s="7" t="s">
        <v>687</v>
      </c>
      <c r="O7" s="34" t="s">
        <v>688</v>
      </c>
      <c r="P7" s="8">
        <v>118</v>
      </c>
      <c r="Q7" s="8" t="s">
        <v>15</v>
      </c>
      <c r="R7" s="20">
        <v>44757</v>
      </c>
      <c r="S7" s="8">
        <v>7.6</v>
      </c>
      <c r="T7" s="8">
        <v>1600</v>
      </c>
      <c r="U7" s="8">
        <v>7.5</v>
      </c>
      <c r="V7" s="9">
        <v>32</v>
      </c>
    </row>
    <row r="8" spans="1:22" ht="15" thickBot="1" x14ac:dyDescent="0.35">
      <c r="A8" t="s">
        <v>322</v>
      </c>
      <c r="B8" t="s">
        <v>323</v>
      </c>
      <c r="C8">
        <v>130</v>
      </c>
      <c r="D8" t="s">
        <v>15</v>
      </c>
      <c r="E8" s="1">
        <v>44708</v>
      </c>
      <c r="F8">
        <v>8.1999999999999993</v>
      </c>
      <c r="H8">
        <v>8.1519999999999992</v>
      </c>
      <c r="J8">
        <v>78</v>
      </c>
      <c r="K8">
        <v>96</v>
      </c>
    </row>
    <row r="9" spans="1:22" x14ac:dyDescent="0.3">
      <c r="A9" t="s">
        <v>511</v>
      </c>
      <c r="B9" t="s">
        <v>512</v>
      </c>
      <c r="C9">
        <v>166</v>
      </c>
      <c r="D9" t="s">
        <v>15</v>
      </c>
      <c r="E9" s="1">
        <v>45352</v>
      </c>
      <c r="F9">
        <v>8.5</v>
      </c>
      <c r="H9">
        <v>8.1289999999999996</v>
      </c>
      <c r="J9">
        <v>79</v>
      </c>
      <c r="K9">
        <v>92</v>
      </c>
      <c r="N9" s="21" t="s">
        <v>2022</v>
      </c>
      <c r="O9" s="22"/>
      <c r="P9" s="22"/>
      <c r="Q9" s="22"/>
      <c r="R9" s="22"/>
      <c r="S9" s="22" t="s">
        <v>2037</v>
      </c>
      <c r="T9" s="23" t="s">
        <v>2038</v>
      </c>
    </row>
    <row r="10" spans="1:22" x14ac:dyDescent="0.3">
      <c r="A10" t="s">
        <v>200</v>
      </c>
      <c r="B10" t="s">
        <v>201</v>
      </c>
      <c r="C10">
        <v>125</v>
      </c>
      <c r="D10" t="s">
        <v>160</v>
      </c>
      <c r="E10" s="1">
        <v>45548</v>
      </c>
      <c r="F10">
        <v>8</v>
      </c>
      <c r="H10">
        <v>8.1199999999999992</v>
      </c>
      <c r="J10">
        <v>74</v>
      </c>
      <c r="K10">
        <v>98</v>
      </c>
      <c r="N10" s="5" t="s">
        <v>330</v>
      </c>
      <c r="O10" t="s">
        <v>331</v>
      </c>
      <c r="P10">
        <v>102</v>
      </c>
      <c r="Q10" t="s">
        <v>15</v>
      </c>
      <c r="R10" s="1">
        <v>45779</v>
      </c>
      <c r="S10">
        <v>8.1</v>
      </c>
      <c r="T10" s="6">
        <v>389</v>
      </c>
    </row>
    <row r="11" spans="1:22" x14ac:dyDescent="0.3">
      <c r="A11" t="s">
        <v>496</v>
      </c>
      <c r="B11" t="s">
        <v>497</v>
      </c>
      <c r="C11">
        <v>143</v>
      </c>
      <c r="D11" t="s">
        <v>18</v>
      </c>
      <c r="E11" s="1">
        <v>45686</v>
      </c>
      <c r="F11">
        <v>8.1999999999999993</v>
      </c>
      <c r="H11">
        <v>8.1180000000000003</v>
      </c>
      <c r="J11">
        <v>59</v>
      </c>
      <c r="K11">
        <v>92</v>
      </c>
      <c r="N11" s="5" t="s">
        <v>966</v>
      </c>
      <c r="O11" t="s">
        <v>967</v>
      </c>
      <c r="P11">
        <v>110</v>
      </c>
      <c r="Q11" t="s">
        <v>28</v>
      </c>
      <c r="R11" s="1">
        <v>45814</v>
      </c>
      <c r="S11">
        <v>7.7</v>
      </c>
      <c r="T11" s="6">
        <v>466</v>
      </c>
    </row>
    <row r="12" spans="1:22" x14ac:dyDescent="0.3">
      <c r="A12" t="s">
        <v>218</v>
      </c>
      <c r="B12" t="s">
        <v>219</v>
      </c>
      <c r="C12">
        <v>112</v>
      </c>
      <c r="D12" t="s">
        <v>15</v>
      </c>
      <c r="E12" s="1">
        <v>44638</v>
      </c>
      <c r="F12">
        <v>7.8</v>
      </c>
      <c r="H12">
        <v>8.1110000000000007</v>
      </c>
      <c r="J12">
        <v>71</v>
      </c>
      <c r="K12">
        <v>98</v>
      </c>
      <c r="N12" s="5" t="s">
        <v>318</v>
      </c>
      <c r="O12" s="25" t="s">
        <v>319</v>
      </c>
      <c r="P12">
        <v>112</v>
      </c>
      <c r="Q12" t="s">
        <v>12</v>
      </c>
      <c r="R12" s="1">
        <v>44724</v>
      </c>
      <c r="S12">
        <v>8.1</v>
      </c>
      <c r="T12" s="6">
        <v>595</v>
      </c>
    </row>
    <row r="13" spans="1:22" x14ac:dyDescent="0.3">
      <c r="A13" t="s">
        <v>224</v>
      </c>
      <c r="B13" t="s">
        <v>225</v>
      </c>
      <c r="C13">
        <v>103</v>
      </c>
      <c r="D13" t="s">
        <v>15</v>
      </c>
      <c r="E13" s="1">
        <v>45590</v>
      </c>
      <c r="F13">
        <v>8.1999999999999993</v>
      </c>
      <c r="H13">
        <v>8.0950000000000006</v>
      </c>
      <c r="J13">
        <v>78</v>
      </c>
      <c r="K13">
        <v>97</v>
      </c>
      <c r="N13" s="5" t="s">
        <v>172</v>
      </c>
      <c r="O13" s="25" t="s">
        <v>173</v>
      </c>
      <c r="P13">
        <v>118</v>
      </c>
      <c r="Q13" t="s">
        <v>28</v>
      </c>
      <c r="R13" s="1">
        <v>45303</v>
      </c>
      <c r="S13">
        <v>7.5</v>
      </c>
      <c r="T13" s="6">
        <v>667</v>
      </c>
    </row>
    <row r="14" spans="1:22" x14ac:dyDescent="0.3">
      <c r="A14" t="s">
        <v>222</v>
      </c>
      <c r="B14" t="s">
        <v>223</v>
      </c>
      <c r="C14">
        <v>85</v>
      </c>
      <c r="D14" t="s">
        <v>12</v>
      </c>
      <c r="E14" s="1">
        <v>45702</v>
      </c>
      <c r="F14">
        <v>7.9</v>
      </c>
      <c r="H14">
        <v>8.0890000000000004</v>
      </c>
      <c r="J14">
        <v>87</v>
      </c>
      <c r="K14">
        <v>97</v>
      </c>
      <c r="N14" s="5" t="s">
        <v>695</v>
      </c>
      <c r="O14" t="s">
        <v>696</v>
      </c>
      <c r="P14">
        <v>127</v>
      </c>
      <c r="Q14" t="s">
        <v>15</v>
      </c>
      <c r="R14" s="1">
        <v>45716</v>
      </c>
      <c r="S14">
        <v>8</v>
      </c>
      <c r="T14" s="6">
        <v>1200</v>
      </c>
    </row>
    <row r="15" spans="1:22" x14ac:dyDescent="0.3">
      <c r="A15" t="s">
        <v>161</v>
      </c>
      <c r="B15" t="s">
        <v>162</v>
      </c>
      <c r="C15">
        <v>58</v>
      </c>
      <c r="D15" t="s">
        <v>163</v>
      </c>
      <c r="E15" s="1">
        <v>45603</v>
      </c>
      <c r="F15">
        <v>7.8</v>
      </c>
      <c r="H15">
        <v>8.0619999999999994</v>
      </c>
      <c r="J15">
        <v>90</v>
      </c>
      <c r="K15">
        <v>100</v>
      </c>
      <c r="N15" s="5" t="s">
        <v>320</v>
      </c>
      <c r="O15" s="25" t="s">
        <v>321</v>
      </c>
      <c r="P15">
        <v>95</v>
      </c>
      <c r="Q15" t="s">
        <v>15</v>
      </c>
      <c r="R15" s="1">
        <v>44711</v>
      </c>
      <c r="S15">
        <v>7.6</v>
      </c>
      <c r="T15" s="6">
        <v>1300</v>
      </c>
    </row>
    <row r="16" spans="1:22" x14ac:dyDescent="0.3">
      <c r="A16" t="s">
        <v>1815</v>
      </c>
      <c r="B16" t="s">
        <v>1816</v>
      </c>
      <c r="C16">
        <v>122</v>
      </c>
      <c r="D16" t="s">
        <v>90</v>
      </c>
      <c r="E16" s="1">
        <v>44771</v>
      </c>
      <c r="H16">
        <v>8.0500000000000007</v>
      </c>
      <c r="J16">
        <v>30</v>
      </c>
      <c r="K16">
        <v>32</v>
      </c>
      <c r="N16" s="5" t="s">
        <v>258</v>
      </c>
      <c r="O16" s="25" t="s">
        <v>259</v>
      </c>
      <c r="P16">
        <v>85</v>
      </c>
      <c r="Q16" t="s">
        <v>12</v>
      </c>
      <c r="R16" s="1">
        <v>44897</v>
      </c>
      <c r="S16">
        <v>7.5</v>
      </c>
      <c r="T16" s="6">
        <v>1400</v>
      </c>
    </row>
    <row r="17" spans="1:20" x14ac:dyDescent="0.3">
      <c r="A17" t="s">
        <v>336</v>
      </c>
      <c r="B17" t="s">
        <v>337</v>
      </c>
      <c r="C17">
        <v>95</v>
      </c>
      <c r="D17" t="s">
        <v>28</v>
      </c>
      <c r="E17" s="1">
        <v>45582</v>
      </c>
      <c r="F17">
        <v>7.8</v>
      </c>
      <c r="H17">
        <v>8.0429999999999993</v>
      </c>
      <c r="J17">
        <v>81</v>
      </c>
      <c r="K17">
        <v>95</v>
      </c>
      <c r="N17" s="5" t="s">
        <v>486</v>
      </c>
      <c r="O17" s="25" t="s">
        <v>487</v>
      </c>
      <c r="P17">
        <v>127</v>
      </c>
      <c r="Q17" t="s">
        <v>18</v>
      </c>
      <c r="R17" s="1">
        <v>44764</v>
      </c>
      <c r="S17">
        <v>7.9</v>
      </c>
      <c r="T17" s="6">
        <v>1500</v>
      </c>
    </row>
    <row r="18" spans="1:20" x14ac:dyDescent="0.3">
      <c r="A18" t="s">
        <v>1884</v>
      </c>
      <c r="B18" t="s">
        <v>1885</v>
      </c>
      <c r="C18">
        <v>117</v>
      </c>
      <c r="D18" t="s">
        <v>12</v>
      </c>
      <c r="E18" s="1">
        <v>44904</v>
      </c>
      <c r="F18">
        <v>7.6</v>
      </c>
      <c r="H18">
        <v>8.0210000000000008</v>
      </c>
      <c r="J18">
        <v>79</v>
      </c>
      <c r="K18">
        <v>27</v>
      </c>
      <c r="N18" s="5" t="s">
        <v>19</v>
      </c>
      <c r="O18" s="25" t="s">
        <v>20</v>
      </c>
      <c r="P18">
        <v>99</v>
      </c>
      <c r="Q18" t="s">
        <v>12</v>
      </c>
      <c r="R18" s="1">
        <v>44723</v>
      </c>
      <c r="S18">
        <v>8.1999999999999993</v>
      </c>
      <c r="T18" s="6">
        <v>1600</v>
      </c>
    </row>
    <row r="19" spans="1:20" ht="15" thickBot="1" x14ac:dyDescent="0.35">
      <c r="A19" s="16" t="s">
        <v>210</v>
      </c>
      <c r="B19" s="16" t="s">
        <v>211</v>
      </c>
      <c r="C19" s="16">
        <v>117</v>
      </c>
      <c r="D19" s="16" t="s">
        <v>15</v>
      </c>
      <c r="E19" s="17">
        <v>45106</v>
      </c>
      <c r="F19" s="16">
        <v>7.7</v>
      </c>
      <c r="G19" s="16">
        <v>1300</v>
      </c>
      <c r="H19" s="18">
        <v>8</v>
      </c>
      <c r="I19" s="18">
        <v>12</v>
      </c>
      <c r="J19">
        <v>73</v>
      </c>
      <c r="K19">
        <v>98</v>
      </c>
      <c r="N19" s="7" t="s">
        <v>214</v>
      </c>
      <c r="O19" s="34" t="s">
        <v>215</v>
      </c>
      <c r="P19" s="8">
        <v>79</v>
      </c>
      <c r="Q19" s="8" t="s">
        <v>160</v>
      </c>
      <c r="R19" s="20">
        <v>44826</v>
      </c>
      <c r="S19" s="8">
        <v>7.8</v>
      </c>
      <c r="T19" s="9">
        <v>1700</v>
      </c>
    </row>
    <row r="20" spans="1:20" ht="15" thickBot="1" x14ac:dyDescent="0.35">
      <c r="A20" t="s">
        <v>204</v>
      </c>
      <c r="B20" t="s">
        <v>205</v>
      </c>
      <c r="C20">
        <v>103</v>
      </c>
      <c r="D20" t="s">
        <v>15</v>
      </c>
      <c r="E20" s="1">
        <v>45450</v>
      </c>
      <c r="F20">
        <v>7.6</v>
      </c>
      <c r="H20">
        <v>8</v>
      </c>
      <c r="J20">
        <v>87</v>
      </c>
      <c r="K20">
        <v>98</v>
      </c>
    </row>
    <row r="21" spans="1:20" x14ac:dyDescent="0.3">
      <c r="A21" t="s">
        <v>470</v>
      </c>
      <c r="B21" t="s">
        <v>471</v>
      </c>
      <c r="C21">
        <v>180</v>
      </c>
      <c r="D21" t="s">
        <v>28</v>
      </c>
      <c r="E21" s="1">
        <v>45128</v>
      </c>
      <c r="F21">
        <v>8.3000000000000007</v>
      </c>
      <c r="H21">
        <v>8</v>
      </c>
      <c r="J21">
        <v>90</v>
      </c>
      <c r="K21">
        <v>93</v>
      </c>
      <c r="N21" s="21" t="s">
        <v>2024</v>
      </c>
      <c r="O21" s="22"/>
      <c r="P21" s="22"/>
      <c r="Q21" s="22"/>
      <c r="R21" s="22"/>
      <c r="S21" s="22" t="s">
        <v>2037</v>
      </c>
      <c r="T21" s="23" t="s">
        <v>2038</v>
      </c>
    </row>
    <row r="22" spans="1:20" ht="15" thickBot="1" x14ac:dyDescent="0.35">
      <c r="A22" t="s">
        <v>598</v>
      </c>
      <c r="B22" t="s">
        <v>599</v>
      </c>
      <c r="C22">
        <v>144</v>
      </c>
      <c r="D22" t="s">
        <v>28</v>
      </c>
      <c r="E22" s="1">
        <v>45295</v>
      </c>
      <c r="F22">
        <v>7.8</v>
      </c>
      <c r="H22">
        <v>7.976</v>
      </c>
      <c r="J22">
        <v>72</v>
      </c>
      <c r="K22">
        <v>90</v>
      </c>
      <c r="N22" s="7" t="s">
        <v>206</v>
      </c>
      <c r="O22" s="34" t="s">
        <v>207</v>
      </c>
      <c r="P22" s="8">
        <v>169</v>
      </c>
      <c r="Q22" s="8" t="s">
        <v>18</v>
      </c>
      <c r="R22" s="20">
        <v>45261</v>
      </c>
      <c r="S22" s="8">
        <v>8.1999999999999993</v>
      </c>
      <c r="T22" s="9">
        <v>36</v>
      </c>
    </row>
    <row r="23" spans="1:20" x14ac:dyDescent="0.3">
      <c r="A23" t="s">
        <v>622</v>
      </c>
      <c r="B23" t="s">
        <v>623</v>
      </c>
      <c r="C23">
        <v>104</v>
      </c>
      <c r="D23" t="s">
        <v>12</v>
      </c>
      <c r="E23" s="1">
        <v>45555</v>
      </c>
      <c r="F23">
        <v>7.6</v>
      </c>
      <c r="H23">
        <v>7.9740000000000002</v>
      </c>
      <c r="J23">
        <v>64</v>
      </c>
      <c r="K23">
        <v>89</v>
      </c>
    </row>
    <row r="24" spans="1:20" x14ac:dyDescent="0.3">
      <c r="A24" t="s">
        <v>1438</v>
      </c>
      <c r="B24" t="s">
        <v>1439</v>
      </c>
      <c r="C24">
        <v>131</v>
      </c>
      <c r="D24" t="s">
        <v>15</v>
      </c>
      <c r="E24" s="1">
        <v>45111</v>
      </c>
      <c r="F24">
        <v>7.6</v>
      </c>
      <c r="H24">
        <v>7.9560000000000004</v>
      </c>
      <c r="J24">
        <v>36</v>
      </c>
      <c r="K24">
        <v>58</v>
      </c>
    </row>
    <row r="25" spans="1:20" x14ac:dyDescent="0.3">
      <c r="A25" t="s">
        <v>99</v>
      </c>
      <c r="B25" t="s">
        <v>100</v>
      </c>
      <c r="C25">
        <v>99</v>
      </c>
      <c r="D25" t="s">
        <v>15</v>
      </c>
      <c r="E25" s="1">
        <v>45086</v>
      </c>
      <c r="H25">
        <v>7.9489999999999998</v>
      </c>
      <c r="J25">
        <v>58</v>
      </c>
      <c r="K25">
        <v>67</v>
      </c>
    </row>
    <row r="26" spans="1:20" x14ac:dyDescent="0.3">
      <c r="A26" t="s">
        <v>1122</v>
      </c>
      <c r="B26" t="s">
        <v>1123</v>
      </c>
      <c r="C26">
        <v>118</v>
      </c>
      <c r="D26" t="s">
        <v>28</v>
      </c>
      <c r="E26" s="1">
        <v>45149</v>
      </c>
      <c r="H26">
        <v>7.9370000000000003</v>
      </c>
      <c r="J26">
        <v>62</v>
      </c>
      <c r="K26">
        <v>75</v>
      </c>
    </row>
    <row r="27" spans="1:20" x14ac:dyDescent="0.3">
      <c r="A27" t="s">
        <v>914</v>
      </c>
      <c r="B27" t="s">
        <v>915</v>
      </c>
      <c r="C27">
        <v>150</v>
      </c>
      <c r="D27" t="s">
        <v>15</v>
      </c>
      <c r="E27" s="1">
        <v>45051</v>
      </c>
      <c r="F27">
        <v>7.9</v>
      </c>
      <c r="H27">
        <v>7.9240000000000004</v>
      </c>
      <c r="J27">
        <v>64</v>
      </c>
      <c r="K27">
        <v>82</v>
      </c>
    </row>
    <row r="28" spans="1:20" x14ac:dyDescent="0.3">
      <c r="A28" t="s">
        <v>242</v>
      </c>
      <c r="B28" t="s">
        <v>243</v>
      </c>
      <c r="C28">
        <v>127</v>
      </c>
      <c r="D28" t="s">
        <v>15</v>
      </c>
      <c r="E28" s="1">
        <v>45252</v>
      </c>
      <c r="F28">
        <v>7.8</v>
      </c>
      <c r="H28">
        <v>7.9210000000000003</v>
      </c>
      <c r="J28">
        <v>79</v>
      </c>
      <c r="K28">
        <v>97</v>
      </c>
    </row>
    <row r="29" spans="1:20" x14ac:dyDescent="0.3">
      <c r="A29" t="s">
        <v>21</v>
      </c>
      <c r="B29" t="s">
        <v>22</v>
      </c>
      <c r="C29">
        <v>137</v>
      </c>
      <c r="D29" t="s">
        <v>15</v>
      </c>
      <c r="E29" s="1">
        <v>45695</v>
      </c>
      <c r="F29">
        <v>8.4</v>
      </c>
      <c r="H29">
        <v>7.9020000000000001</v>
      </c>
      <c r="J29">
        <v>85</v>
      </c>
      <c r="K29">
        <v>97</v>
      </c>
    </row>
    <row r="30" spans="1:20" x14ac:dyDescent="0.3">
      <c r="A30" t="s">
        <v>1416</v>
      </c>
      <c r="B30" t="s">
        <v>1417</v>
      </c>
      <c r="C30">
        <v>115</v>
      </c>
      <c r="D30" t="s">
        <v>28</v>
      </c>
      <c r="E30" s="1">
        <v>45387</v>
      </c>
      <c r="H30">
        <v>7.9</v>
      </c>
      <c r="J30">
        <v>45</v>
      </c>
      <c r="K30">
        <v>59</v>
      </c>
    </row>
    <row r="31" spans="1:20" x14ac:dyDescent="0.3">
      <c r="A31" t="s">
        <v>519</v>
      </c>
      <c r="B31" t="s">
        <v>520</v>
      </c>
      <c r="C31">
        <v>101</v>
      </c>
      <c r="D31" t="s">
        <v>12</v>
      </c>
      <c r="E31" s="1">
        <v>45107</v>
      </c>
      <c r="F31">
        <v>7.5</v>
      </c>
      <c r="H31">
        <v>7.9</v>
      </c>
      <c r="J31">
        <v>75</v>
      </c>
      <c r="K31">
        <v>92</v>
      </c>
    </row>
    <row r="32" spans="1:20" x14ac:dyDescent="0.3">
      <c r="A32" t="s">
        <v>29</v>
      </c>
      <c r="B32" t="s">
        <v>30</v>
      </c>
      <c r="C32">
        <v>122</v>
      </c>
      <c r="D32" t="s">
        <v>12</v>
      </c>
      <c r="E32" s="1">
        <v>45030</v>
      </c>
      <c r="F32">
        <v>7.6</v>
      </c>
      <c r="H32">
        <v>7.8869999999999996</v>
      </c>
      <c r="J32">
        <v>77</v>
      </c>
      <c r="K32">
        <v>96</v>
      </c>
    </row>
    <row r="33" spans="1:11" x14ac:dyDescent="0.3">
      <c r="A33" t="s">
        <v>370</v>
      </c>
      <c r="B33" t="s">
        <v>371</v>
      </c>
      <c r="C33">
        <v>100</v>
      </c>
      <c r="D33" t="s">
        <v>15</v>
      </c>
      <c r="E33" s="1">
        <v>44791</v>
      </c>
      <c r="H33">
        <v>7.8789999999999996</v>
      </c>
      <c r="J33">
        <v>65</v>
      </c>
      <c r="K33">
        <v>95</v>
      </c>
    </row>
    <row r="34" spans="1:11" x14ac:dyDescent="0.3">
      <c r="A34" t="s">
        <v>665</v>
      </c>
      <c r="B34" t="s">
        <v>666</v>
      </c>
      <c r="C34">
        <v>129</v>
      </c>
      <c r="D34" t="s">
        <v>12</v>
      </c>
      <c r="E34" s="1">
        <v>45492</v>
      </c>
      <c r="F34">
        <v>7.5</v>
      </c>
      <c r="H34">
        <v>7.8639999999999999</v>
      </c>
      <c r="J34">
        <v>62</v>
      </c>
      <c r="K34">
        <v>88</v>
      </c>
    </row>
    <row r="35" spans="1:11" x14ac:dyDescent="0.3">
      <c r="A35" t="s">
        <v>812</v>
      </c>
      <c r="B35" t="s">
        <v>813</v>
      </c>
      <c r="C35">
        <v>147</v>
      </c>
      <c r="D35" t="s">
        <v>15</v>
      </c>
      <c r="E35" s="1">
        <v>44778</v>
      </c>
      <c r="F35">
        <v>7.8</v>
      </c>
      <c r="H35">
        <v>7.8470000000000004</v>
      </c>
      <c r="J35">
        <v>66</v>
      </c>
      <c r="K35">
        <v>85</v>
      </c>
    </row>
    <row r="36" spans="1:11" x14ac:dyDescent="0.3">
      <c r="A36" t="s">
        <v>1072</v>
      </c>
      <c r="B36" t="s">
        <v>1073</v>
      </c>
      <c r="C36">
        <v>121</v>
      </c>
      <c r="D36" t="s">
        <v>15</v>
      </c>
      <c r="E36" s="1">
        <v>45569</v>
      </c>
      <c r="H36">
        <v>7.8250000000000002</v>
      </c>
      <c r="J36">
        <v>54</v>
      </c>
      <c r="K36">
        <v>76</v>
      </c>
    </row>
    <row r="37" spans="1:11" x14ac:dyDescent="0.3">
      <c r="A37" t="s">
        <v>316</v>
      </c>
      <c r="B37" t="s">
        <v>317</v>
      </c>
      <c r="C37">
        <v>140</v>
      </c>
      <c r="D37" t="s">
        <v>28</v>
      </c>
      <c r="E37" s="1">
        <v>44855</v>
      </c>
      <c r="F37">
        <v>7.6</v>
      </c>
      <c r="H37">
        <v>7.819</v>
      </c>
      <c r="J37">
        <v>78</v>
      </c>
      <c r="K37">
        <v>96</v>
      </c>
    </row>
    <row r="38" spans="1:11" x14ac:dyDescent="0.3">
      <c r="A38" t="s">
        <v>176</v>
      </c>
      <c r="B38" t="s">
        <v>177</v>
      </c>
      <c r="C38">
        <v>115</v>
      </c>
      <c r="D38" t="s">
        <v>15</v>
      </c>
      <c r="E38" s="1">
        <v>45258</v>
      </c>
      <c r="F38">
        <v>7.9</v>
      </c>
      <c r="H38">
        <v>7.8</v>
      </c>
      <c r="J38">
        <v>85</v>
      </c>
      <c r="K38">
        <v>100</v>
      </c>
    </row>
    <row r="39" spans="1:11" x14ac:dyDescent="0.3">
      <c r="A39" t="s">
        <v>158</v>
      </c>
      <c r="B39" t="s">
        <v>159</v>
      </c>
      <c r="C39">
        <v>102</v>
      </c>
      <c r="D39" t="s">
        <v>160</v>
      </c>
      <c r="E39" s="1">
        <v>45618</v>
      </c>
      <c r="H39">
        <v>7.8</v>
      </c>
      <c r="J39">
        <v>73</v>
      </c>
      <c r="K39">
        <v>100</v>
      </c>
    </row>
    <row r="40" spans="1:11" x14ac:dyDescent="0.3">
      <c r="A40" t="s">
        <v>300</v>
      </c>
      <c r="B40" t="s">
        <v>301</v>
      </c>
      <c r="C40">
        <v>121</v>
      </c>
      <c r="D40" t="s">
        <v>18</v>
      </c>
      <c r="E40" s="1">
        <v>45176</v>
      </c>
      <c r="F40">
        <v>7.6</v>
      </c>
      <c r="H40">
        <v>7.798</v>
      </c>
      <c r="J40">
        <v>79</v>
      </c>
      <c r="K40">
        <v>96</v>
      </c>
    </row>
    <row r="41" spans="1:11" x14ac:dyDescent="0.3">
      <c r="A41" t="s">
        <v>292</v>
      </c>
      <c r="B41" t="s">
        <v>293</v>
      </c>
      <c r="C41">
        <v>124</v>
      </c>
      <c r="D41" t="s">
        <v>12</v>
      </c>
      <c r="E41" s="1">
        <v>45281</v>
      </c>
      <c r="F41">
        <v>7.9</v>
      </c>
      <c r="H41">
        <v>7.79</v>
      </c>
      <c r="J41">
        <v>80</v>
      </c>
      <c r="K41">
        <v>96</v>
      </c>
    </row>
    <row r="42" spans="1:11" x14ac:dyDescent="0.3">
      <c r="A42" t="s">
        <v>180</v>
      </c>
      <c r="B42" t="s">
        <v>181</v>
      </c>
      <c r="C42">
        <v>124</v>
      </c>
      <c r="D42" t="s">
        <v>15</v>
      </c>
      <c r="E42" s="1">
        <v>45135</v>
      </c>
      <c r="F42">
        <v>8.1</v>
      </c>
      <c r="H42">
        <v>7.7850000000000001</v>
      </c>
      <c r="J42">
        <v>79</v>
      </c>
      <c r="K42">
        <v>100</v>
      </c>
    </row>
    <row r="43" spans="1:11" x14ac:dyDescent="0.3">
      <c r="A43" t="s">
        <v>594</v>
      </c>
      <c r="B43" t="s">
        <v>595</v>
      </c>
      <c r="C43">
        <v>142</v>
      </c>
      <c r="D43" t="s">
        <v>15</v>
      </c>
      <c r="E43" s="1">
        <v>45359</v>
      </c>
      <c r="H43">
        <v>7.7770000000000001</v>
      </c>
      <c r="J43">
        <v>51</v>
      </c>
      <c r="K43">
        <v>90</v>
      </c>
    </row>
    <row r="44" spans="1:11" x14ac:dyDescent="0.3">
      <c r="A44" t="s">
        <v>1350</v>
      </c>
      <c r="B44" t="s">
        <v>1351</v>
      </c>
      <c r="C44">
        <v>117</v>
      </c>
      <c r="D44" t="s">
        <v>28</v>
      </c>
      <c r="E44" s="1">
        <v>44916</v>
      </c>
      <c r="F44">
        <v>7.6</v>
      </c>
      <c r="H44">
        <v>7.7750000000000004</v>
      </c>
      <c r="J44">
        <v>60</v>
      </c>
      <c r="K44">
        <v>64</v>
      </c>
    </row>
    <row r="45" spans="1:11" x14ac:dyDescent="0.3">
      <c r="A45" t="s">
        <v>568</v>
      </c>
      <c r="B45" t="s">
        <v>569</v>
      </c>
      <c r="C45">
        <v>104</v>
      </c>
      <c r="D45" t="s">
        <v>15</v>
      </c>
      <c r="E45" s="1">
        <v>44866</v>
      </c>
      <c r="F45">
        <v>7.8</v>
      </c>
      <c r="H45">
        <v>7.7729999999999997</v>
      </c>
      <c r="J45">
        <v>81</v>
      </c>
      <c r="K45">
        <v>91</v>
      </c>
    </row>
    <row r="46" spans="1:11" x14ac:dyDescent="0.3">
      <c r="A46" t="s">
        <v>541</v>
      </c>
      <c r="B46" t="s">
        <v>542</v>
      </c>
      <c r="C46">
        <v>109</v>
      </c>
      <c r="D46" t="s">
        <v>12</v>
      </c>
      <c r="E46" s="1">
        <v>45509</v>
      </c>
      <c r="F46">
        <v>7.5</v>
      </c>
      <c r="H46">
        <v>7.766</v>
      </c>
      <c r="J46">
        <v>69</v>
      </c>
      <c r="K46">
        <v>91</v>
      </c>
    </row>
    <row r="47" spans="1:11" x14ac:dyDescent="0.3">
      <c r="A47" t="s">
        <v>1631</v>
      </c>
      <c r="B47" t="s">
        <v>1632</v>
      </c>
      <c r="C47">
        <v>132</v>
      </c>
      <c r="D47" t="s">
        <v>28</v>
      </c>
      <c r="E47" s="1">
        <v>44904</v>
      </c>
      <c r="H47">
        <v>7.7590000000000003</v>
      </c>
      <c r="J47">
        <v>53</v>
      </c>
      <c r="K47">
        <v>45</v>
      </c>
    </row>
    <row r="48" spans="1:11" x14ac:dyDescent="0.3">
      <c r="A48" t="s">
        <v>1246</v>
      </c>
      <c r="B48" t="s">
        <v>1247</v>
      </c>
      <c r="C48">
        <v>126</v>
      </c>
      <c r="D48" t="s">
        <v>15</v>
      </c>
      <c r="E48" s="1">
        <v>44939</v>
      </c>
      <c r="F48">
        <v>7.5</v>
      </c>
      <c r="H48">
        <v>7.7510000000000003</v>
      </c>
      <c r="J48">
        <v>51</v>
      </c>
      <c r="K48">
        <v>70</v>
      </c>
    </row>
    <row r="49" spans="1:11" x14ac:dyDescent="0.3">
      <c r="A49" t="s">
        <v>1575</v>
      </c>
      <c r="B49" t="s">
        <v>1576</v>
      </c>
      <c r="C49">
        <v>105</v>
      </c>
      <c r="D49" t="s">
        <v>862</v>
      </c>
      <c r="E49" s="1">
        <v>44778</v>
      </c>
      <c r="H49">
        <v>7.7279999999999998</v>
      </c>
      <c r="J49">
        <v>48</v>
      </c>
      <c r="K49">
        <v>48</v>
      </c>
    </row>
    <row r="50" spans="1:11" x14ac:dyDescent="0.3">
      <c r="A50" t="s">
        <v>492</v>
      </c>
      <c r="B50" t="s">
        <v>493</v>
      </c>
      <c r="C50">
        <v>139</v>
      </c>
      <c r="D50" t="s">
        <v>28</v>
      </c>
      <c r="E50" s="1">
        <v>44659</v>
      </c>
      <c r="F50">
        <v>7.8</v>
      </c>
      <c r="H50">
        <v>7.72</v>
      </c>
      <c r="J50">
        <v>81</v>
      </c>
      <c r="K50">
        <v>93</v>
      </c>
    </row>
    <row r="51" spans="1:11" x14ac:dyDescent="0.3">
      <c r="A51" t="s">
        <v>610</v>
      </c>
      <c r="B51" t="s">
        <v>611</v>
      </c>
      <c r="C51">
        <v>148</v>
      </c>
      <c r="D51" t="s">
        <v>28</v>
      </c>
      <c r="E51" s="1">
        <v>44862</v>
      </c>
      <c r="F51">
        <v>7.8</v>
      </c>
      <c r="H51">
        <v>7.7169999999999996</v>
      </c>
      <c r="J51">
        <v>76</v>
      </c>
      <c r="K51">
        <v>90</v>
      </c>
    </row>
    <row r="52" spans="1:11" x14ac:dyDescent="0.3">
      <c r="A52" t="s">
        <v>916</v>
      </c>
      <c r="B52" t="s">
        <v>917</v>
      </c>
      <c r="C52">
        <v>123</v>
      </c>
      <c r="D52" t="s">
        <v>28</v>
      </c>
      <c r="E52" s="1">
        <v>45037</v>
      </c>
      <c r="F52">
        <v>7.5</v>
      </c>
      <c r="H52">
        <v>7.7160000000000002</v>
      </c>
      <c r="J52">
        <v>63</v>
      </c>
      <c r="K52">
        <v>82</v>
      </c>
    </row>
    <row r="53" spans="1:11" x14ac:dyDescent="0.3">
      <c r="A53" t="s">
        <v>324</v>
      </c>
      <c r="B53" t="s">
        <v>325</v>
      </c>
      <c r="C53">
        <v>187</v>
      </c>
      <c r="D53" t="s">
        <v>63</v>
      </c>
      <c r="E53" s="1">
        <v>44645</v>
      </c>
      <c r="F53">
        <v>7.8</v>
      </c>
      <c r="H53">
        <v>7.7149999999999999</v>
      </c>
      <c r="J53">
        <v>83</v>
      </c>
      <c r="K53">
        <v>96</v>
      </c>
    </row>
    <row r="54" spans="1:11" x14ac:dyDescent="0.3">
      <c r="A54" t="s">
        <v>414</v>
      </c>
      <c r="B54" t="s">
        <v>415</v>
      </c>
      <c r="C54">
        <v>169</v>
      </c>
      <c r="D54" t="s">
        <v>28</v>
      </c>
      <c r="E54" s="1">
        <v>45009</v>
      </c>
      <c r="F54">
        <v>7.6</v>
      </c>
      <c r="H54">
        <v>7.7060000000000004</v>
      </c>
      <c r="J54">
        <v>78</v>
      </c>
      <c r="K54">
        <v>94</v>
      </c>
    </row>
    <row r="55" spans="1:11" x14ac:dyDescent="0.3">
      <c r="A55" t="s">
        <v>102</v>
      </c>
      <c r="B55" t="s">
        <v>103</v>
      </c>
      <c r="C55">
        <v>134</v>
      </c>
      <c r="D55" t="s">
        <v>15</v>
      </c>
      <c r="E55" s="1">
        <v>45163</v>
      </c>
      <c r="H55">
        <v>7.7050000000000001</v>
      </c>
      <c r="J55">
        <v>48</v>
      </c>
      <c r="K55">
        <v>65</v>
      </c>
    </row>
    <row r="56" spans="1:11" x14ac:dyDescent="0.3">
      <c r="A56" t="s">
        <v>426</v>
      </c>
      <c r="B56" t="s">
        <v>427</v>
      </c>
      <c r="C56">
        <v>117</v>
      </c>
      <c r="D56" t="s">
        <v>28</v>
      </c>
      <c r="E56" s="1">
        <v>44720</v>
      </c>
      <c r="H56">
        <v>7.7039999999999997</v>
      </c>
      <c r="J56">
        <v>68</v>
      </c>
      <c r="K56">
        <v>94</v>
      </c>
    </row>
    <row r="57" spans="1:11" x14ac:dyDescent="0.3">
      <c r="A57" t="s">
        <v>1647</v>
      </c>
      <c r="B57" t="s">
        <v>1648</v>
      </c>
      <c r="C57">
        <v>109</v>
      </c>
      <c r="D57" t="s">
        <v>12</v>
      </c>
      <c r="E57" s="1">
        <v>45709</v>
      </c>
      <c r="G57">
        <v>1000</v>
      </c>
      <c r="H57">
        <v>7.7030000000000003</v>
      </c>
      <c r="J57">
        <v>35</v>
      </c>
      <c r="K57">
        <v>43</v>
      </c>
    </row>
    <row r="58" spans="1:11" x14ac:dyDescent="0.3">
      <c r="A58" t="s">
        <v>1078</v>
      </c>
      <c r="B58" t="s">
        <v>1079</v>
      </c>
      <c r="C58">
        <v>85</v>
      </c>
      <c r="D58" t="s">
        <v>15</v>
      </c>
      <c r="E58" s="1">
        <v>45443</v>
      </c>
      <c r="F58">
        <v>7.7</v>
      </c>
      <c r="H58">
        <v>7.7</v>
      </c>
      <c r="J58">
        <v>67</v>
      </c>
      <c r="K58">
        <v>76</v>
      </c>
    </row>
    <row r="59" spans="1:11" x14ac:dyDescent="0.3">
      <c r="A59" t="s">
        <v>1637</v>
      </c>
      <c r="B59" t="s">
        <v>1638</v>
      </c>
      <c r="C59">
        <v>126</v>
      </c>
      <c r="D59" t="s">
        <v>12</v>
      </c>
      <c r="E59" s="1">
        <v>45163</v>
      </c>
      <c r="H59">
        <v>7.7</v>
      </c>
      <c r="J59">
        <v>48</v>
      </c>
      <c r="K59">
        <v>44</v>
      </c>
    </row>
    <row r="60" spans="1:11" x14ac:dyDescent="0.3">
      <c r="A60" t="s">
        <v>354</v>
      </c>
      <c r="B60" t="s">
        <v>355</v>
      </c>
      <c r="C60">
        <v>105</v>
      </c>
      <c r="D60" t="s">
        <v>15</v>
      </c>
      <c r="E60" s="1">
        <v>45100</v>
      </c>
      <c r="F60">
        <v>7.8</v>
      </c>
      <c r="H60">
        <v>7.7</v>
      </c>
      <c r="J60">
        <v>94</v>
      </c>
      <c r="K60">
        <v>95</v>
      </c>
    </row>
    <row r="61" spans="1:11" x14ac:dyDescent="0.3">
      <c r="A61" t="s">
        <v>832</v>
      </c>
      <c r="B61" t="s">
        <v>833</v>
      </c>
      <c r="C61">
        <v>118</v>
      </c>
      <c r="D61" t="s">
        <v>12</v>
      </c>
      <c r="E61" s="1">
        <v>45345</v>
      </c>
      <c r="H61">
        <v>7.6849999999999996</v>
      </c>
      <c r="J61">
        <v>57</v>
      </c>
      <c r="K61">
        <v>84</v>
      </c>
    </row>
    <row r="62" spans="1:11" x14ac:dyDescent="0.3">
      <c r="A62" t="s">
        <v>308</v>
      </c>
      <c r="B62" t="s">
        <v>309</v>
      </c>
      <c r="C62">
        <v>102</v>
      </c>
      <c r="D62" t="s">
        <v>28</v>
      </c>
      <c r="E62" s="1">
        <v>44883</v>
      </c>
      <c r="F62">
        <v>7.6</v>
      </c>
      <c r="H62">
        <v>7.6840000000000002</v>
      </c>
      <c r="J62">
        <v>95</v>
      </c>
      <c r="K62">
        <v>96</v>
      </c>
    </row>
    <row r="63" spans="1:11" x14ac:dyDescent="0.3">
      <c r="A63" t="s">
        <v>248</v>
      </c>
      <c r="B63" t="s">
        <v>249</v>
      </c>
      <c r="C63">
        <v>127</v>
      </c>
      <c r="D63" t="s">
        <v>28</v>
      </c>
      <c r="E63" s="1">
        <v>45204</v>
      </c>
      <c r="F63">
        <v>7.7</v>
      </c>
      <c r="H63">
        <v>7.6829999999999998</v>
      </c>
      <c r="J63">
        <v>77</v>
      </c>
      <c r="K63">
        <v>97</v>
      </c>
    </row>
    <row r="64" spans="1:11" x14ac:dyDescent="0.3">
      <c r="A64" t="s">
        <v>168</v>
      </c>
      <c r="B64" t="s">
        <v>169</v>
      </c>
      <c r="C64">
        <v>103</v>
      </c>
      <c r="D64" t="s">
        <v>12</v>
      </c>
      <c r="E64" s="1">
        <v>45468</v>
      </c>
      <c r="F64">
        <v>7.7</v>
      </c>
      <c r="H64">
        <v>7.6619999999999999</v>
      </c>
      <c r="J64">
        <v>76</v>
      </c>
      <c r="K64">
        <v>100</v>
      </c>
    </row>
    <row r="65" spans="1:11" x14ac:dyDescent="0.3">
      <c r="A65" t="s">
        <v>418</v>
      </c>
      <c r="B65" t="s">
        <v>419</v>
      </c>
      <c r="C65">
        <v>100</v>
      </c>
      <c r="D65" t="s">
        <v>28</v>
      </c>
      <c r="E65" s="1">
        <v>44778</v>
      </c>
      <c r="H65">
        <v>7.6619999999999999</v>
      </c>
      <c r="J65">
        <v>71</v>
      </c>
      <c r="K65">
        <v>94</v>
      </c>
    </row>
    <row r="66" spans="1:11" x14ac:dyDescent="0.3">
      <c r="A66" t="s">
        <v>820</v>
      </c>
      <c r="B66" t="s">
        <v>821</v>
      </c>
      <c r="C66">
        <v>176</v>
      </c>
      <c r="D66" t="s">
        <v>15</v>
      </c>
      <c r="E66" s="1">
        <v>44624</v>
      </c>
      <c r="F66">
        <v>7.8</v>
      </c>
      <c r="H66">
        <v>7.6580000000000004</v>
      </c>
      <c r="J66">
        <v>72</v>
      </c>
      <c r="K66">
        <v>85</v>
      </c>
    </row>
    <row r="67" spans="1:11" x14ac:dyDescent="0.3">
      <c r="A67" t="s">
        <v>509</v>
      </c>
      <c r="B67" t="s">
        <v>510</v>
      </c>
      <c r="C67">
        <v>197</v>
      </c>
      <c r="D67" t="s">
        <v>18</v>
      </c>
      <c r="E67" s="1">
        <v>45433</v>
      </c>
      <c r="F67">
        <v>7.7</v>
      </c>
      <c r="H67">
        <v>7.657</v>
      </c>
      <c r="J67">
        <v>88</v>
      </c>
      <c r="K67">
        <v>92</v>
      </c>
    </row>
    <row r="68" spans="1:11" x14ac:dyDescent="0.3">
      <c r="A68" t="s">
        <v>1198</v>
      </c>
      <c r="B68" t="s">
        <v>1199</v>
      </c>
      <c r="C68">
        <v>111</v>
      </c>
      <c r="D68" t="s">
        <v>28</v>
      </c>
      <c r="E68" s="1">
        <v>44797</v>
      </c>
      <c r="H68">
        <v>7.6539999999999999</v>
      </c>
      <c r="J68">
        <v>54</v>
      </c>
      <c r="K68">
        <v>72</v>
      </c>
    </row>
    <row r="69" spans="1:11" x14ac:dyDescent="0.3">
      <c r="A69" t="s">
        <v>246</v>
      </c>
      <c r="B69" t="s">
        <v>247</v>
      </c>
      <c r="C69">
        <v>133</v>
      </c>
      <c r="D69" t="s">
        <v>28</v>
      </c>
      <c r="E69" s="1">
        <v>45240</v>
      </c>
      <c r="F69">
        <v>7.9</v>
      </c>
      <c r="H69">
        <v>7.6509999999999998</v>
      </c>
      <c r="J69">
        <v>82</v>
      </c>
      <c r="K69">
        <v>97</v>
      </c>
    </row>
    <row r="70" spans="1:11" x14ac:dyDescent="0.3">
      <c r="A70" t="s">
        <v>513</v>
      </c>
      <c r="B70" t="s">
        <v>514</v>
      </c>
      <c r="C70">
        <v>141</v>
      </c>
      <c r="D70" t="s">
        <v>28</v>
      </c>
      <c r="E70" s="1">
        <v>45282</v>
      </c>
      <c r="F70">
        <v>7.8</v>
      </c>
      <c r="H70">
        <v>7.6479999999999997</v>
      </c>
      <c r="J70">
        <v>88</v>
      </c>
      <c r="K70">
        <v>92</v>
      </c>
    </row>
    <row r="71" spans="1:11" x14ac:dyDescent="0.3">
      <c r="A71" t="s">
        <v>216</v>
      </c>
      <c r="B71" t="s">
        <v>217</v>
      </c>
      <c r="C71">
        <v>90</v>
      </c>
      <c r="D71" t="s">
        <v>12</v>
      </c>
      <c r="E71" s="1">
        <v>44757</v>
      </c>
      <c r="F71">
        <v>7.6</v>
      </c>
      <c r="H71">
        <v>7.6429999999999998</v>
      </c>
      <c r="J71">
        <v>80</v>
      </c>
      <c r="K71">
        <v>98</v>
      </c>
    </row>
    <row r="72" spans="1:11" x14ac:dyDescent="0.3">
      <c r="A72" t="s">
        <v>958</v>
      </c>
      <c r="B72" t="s">
        <v>959</v>
      </c>
      <c r="C72">
        <v>118</v>
      </c>
      <c r="D72" t="s">
        <v>28</v>
      </c>
      <c r="E72" s="1">
        <v>45016</v>
      </c>
      <c r="H72">
        <v>7.6340000000000003</v>
      </c>
      <c r="J72">
        <v>61</v>
      </c>
      <c r="K72">
        <v>81</v>
      </c>
    </row>
    <row r="73" spans="1:11" x14ac:dyDescent="0.3">
      <c r="A73" t="s">
        <v>566</v>
      </c>
      <c r="B73" t="s">
        <v>567</v>
      </c>
      <c r="C73">
        <v>147</v>
      </c>
      <c r="D73" t="s">
        <v>18</v>
      </c>
      <c r="E73" s="1">
        <v>44909</v>
      </c>
      <c r="F73">
        <v>7.7</v>
      </c>
      <c r="H73">
        <v>7.6260000000000003</v>
      </c>
      <c r="J73">
        <v>78</v>
      </c>
      <c r="K73">
        <v>91</v>
      </c>
    </row>
    <row r="74" spans="1:11" x14ac:dyDescent="0.3">
      <c r="A74" t="s">
        <v>616</v>
      </c>
      <c r="B74" t="s">
        <v>617</v>
      </c>
      <c r="C74">
        <v>135</v>
      </c>
      <c r="D74" t="s">
        <v>28</v>
      </c>
      <c r="E74" s="1">
        <v>45667</v>
      </c>
      <c r="F74">
        <v>7.6</v>
      </c>
      <c r="H74">
        <v>7.6230000000000002</v>
      </c>
      <c r="J74">
        <v>77</v>
      </c>
      <c r="K74">
        <v>89</v>
      </c>
    </row>
    <row r="75" spans="1:11" x14ac:dyDescent="0.3">
      <c r="A75" t="s">
        <v>1370</v>
      </c>
      <c r="B75" t="s">
        <v>1371</v>
      </c>
      <c r="C75">
        <v>127</v>
      </c>
      <c r="D75" t="s">
        <v>15</v>
      </c>
      <c r="E75" s="1">
        <v>45702</v>
      </c>
      <c r="H75">
        <v>7.6180000000000003</v>
      </c>
      <c r="J75">
        <v>57</v>
      </c>
      <c r="K75">
        <v>62</v>
      </c>
    </row>
    <row r="76" spans="1:11" x14ac:dyDescent="0.3">
      <c r="A76" t="s">
        <v>416</v>
      </c>
      <c r="B76" t="s">
        <v>417</v>
      </c>
      <c r="C76">
        <v>135</v>
      </c>
      <c r="D76" t="s">
        <v>15</v>
      </c>
      <c r="E76" s="1">
        <v>44820</v>
      </c>
      <c r="H76">
        <v>7.6139999999999999</v>
      </c>
      <c r="J76">
        <v>76</v>
      </c>
      <c r="K76">
        <v>94</v>
      </c>
    </row>
    <row r="77" spans="1:11" x14ac:dyDescent="0.3">
      <c r="A77" t="s">
        <v>729</v>
      </c>
      <c r="B77" t="s">
        <v>730</v>
      </c>
      <c r="C77">
        <v>110</v>
      </c>
      <c r="D77" t="s">
        <v>12</v>
      </c>
      <c r="E77" s="1">
        <v>45646</v>
      </c>
      <c r="H77">
        <v>7.6139999999999999</v>
      </c>
      <c r="J77">
        <v>56</v>
      </c>
      <c r="K77">
        <v>86</v>
      </c>
    </row>
    <row r="78" spans="1:11" x14ac:dyDescent="0.3">
      <c r="A78" t="s">
        <v>938</v>
      </c>
      <c r="B78" t="s">
        <v>939</v>
      </c>
      <c r="C78">
        <v>120</v>
      </c>
      <c r="D78" t="s">
        <v>12</v>
      </c>
      <c r="E78" s="1">
        <v>45723</v>
      </c>
      <c r="G78">
        <v>617</v>
      </c>
      <c r="H78">
        <v>7.6</v>
      </c>
      <c r="I78">
        <v>23</v>
      </c>
      <c r="J78">
        <v>55</v>
      </c>
      <c r="K78">
        <v>81</v>
      </c>
    </row>
    <row r="79" spans="1:11" x14ac:dyDescent="0.3">
      <c r="A79" t="s">
        <v>1641</v>
      </c>
      <c r="B79" t="s">
        <v>1642</v>
      </c>
      <c r="C79">
        <v>113</v>
      </c>
      <c r="D79" t="s">
        <v>28</v>
      </c>
      <c r="E79" s="1">
        <v>44869</v>
      </c>
      <c r="H79">
        <v>7.6</v>
      </c>
      <c r="J79">
        <v>50</v>
      </c>
      <c r="K79">
        <v>44</v>
      </c>
    </row>
    <row r="80" spans="1:11" x14ac:dyDescent="0.3">
      <c r="A80" t="s">
        <v>1422</v>
      </c>
      <c r="B80" t="s">
        <v>1423</v>
      </c>
      <c r="C80">
        <v>92</v>
      </c>
      <c r="D80" t="s">
        <v>12</v>
      </c>
      <c r="E80" s="1">
        <v>45021</v>
      </c>
      <c r="H80">
        <v>7.6</v>
      </c>
      <c r="J80">
        <v>46</v>
      </c>
      <c r="K80">
        <v>59</v>
      </c>
    </row>
    <row r="81" spans="1:11" x14ac:dyDescent="0.3">
      <c r="A81" t="s">
        <v>1094</v>
      </c>
      <c r="B81" t="s">
        <v>1095</v>
      </c>
      <c r="C81">
        <v>192</v>
      </c>
      <c r="D81" t="s">
        <v>15</v>
      </c>
      <c r="E81" s="1">
        <v>44911</v>
      </c>
      <c r="H81">
        <v>7.593</v>
      </c>
      <c r="J81">
        <v>67</v>
      </c>
      <c r="K81">
        <v>76</v>
      </c>
    </row>
    <row r="82" spans="1:11" x14ac:dyDescent="0.3">
      <c r="A82" t="s">
        <v>500</v>
      </c>
      <c r="B82" t="s">
        <v>501</v>
      </c>
      <c r="C82">
        <v>123</v>
      </c>
      <c r="D82" t="s">
        <v>25</v>
      </c>
      <c r="E82" s="1">
        <v>45681</v>
      </c>
      <c r="F82">
        <v>7.5</v>
      </c>
      <c r="H82">
        <v>7.5880000000000001</v>
      </c>
      <c r="J82">
        <v>82</v>
      </c>
      <c r="K82">
        <v>92</v>
      </c>
    </row>
    <row r="83" spans="1:11" x14ac:dyDescent="0.3">
      <c r="A83" t="s">
        <v>1162</v>
      </c>
      <c r="B83" t="s">
        <v>1163</v>
      </c>
      <c r="C83">
        <v>101</v>
      </c>
      <c r="D83" t="s">
        <v>12</v>
      </c>
      <c r="E83" s="1">
        <v>45093</v>
      </c>
      <c r="H83">
        <v>7.5780000000000003</v>
      </c>
      <c r="J83">
        <v>58</v>
      </c>
      <c r="K83">
        <v>73</v>
      </c>
    </row>
    <row r="84" spans="1:11" x14ac:dyDescent="0.3">
      <c r="A84" t="s">
        <v>190</v>
      </c>
      <c r="B84" t="s">
        <v>191</v>
      </c>
      <c r="C84">
        <v>124</v>
      </c>
      <c r="D84" t="s">
        <v>15</v>
      </c>
      <c r="E84" s="1">
        <v>45261</v>
      </c>
      <c r="F84">
        <v>7.7</v>
      </c>
      <c r="H84">
        <v>7.5730000000000004</v>
      </c>
      <c r="J84">
        <v>81</v>
      </c>
      <c r="K84">
        <v>99</v>
      </c>
    </row>
    <row r="85" spans="1:11" x14ac:dyDescent="0.3">
      <c r="A85" t="s">
        <v>527</v>
      </c>
      <c r="B85" t="s">
        <v>528</v>
      </c>
      <c r="C85">
        <v>151</v>
      </c>
      <c r="D85" t="s">
        <v>15</v>
      </c>
      <c r="E85" s="1">
        <v>44888</v>
      </c>
      <c r="F85">
        <v>7.5</v>
      </c>
      <c r="H85">
        <v>7.5720000000000001</v>
      </c>
      <c r="J85">
        <v>85</v>
      </c>
      <c r="K85">
        <v>92</v>
      </c>
    </row>
    <row r="86" spans="1:11" x14ac:dyDescent="0.3">
      <c r="A86" t="s">
        <v>126</v>
      </c>
      <c r="B86" t="s">
        <v>127</v>
      </c>
      <c r="C86">
        <v>129</v>
      </c>
      <c r="D86" t="s">
        <v>15</v>
      </c>
      <c r="E86" s="1">
        <v>45044</v>
      </c>
      <c r="H86">
        <v>7.5629999999999997</v>
      </c>
      <c r="J86">
        <v>45</v>
      </c>
      <c r="K86">
        <v>42</v>
      </c>
    </row>
    <row r="87" spans="1:11" x14ac:dyDescent="0.3">
      <c r="A87" t="s">
        <v>156</v>
      </c>
      <c r="B87" t="s">
        <v>157</v>
      </c>
      <c r="C87">
        <v>99</v>
      </c>
      <c r="D87" t="s">
        <v>15</v>
      </c>
      <c r="E87" s="1">
        <v>45632</v>
      </c>
      <c r="G87">
        <v>721</v>
      </c>
      <c r="H87">
        <v>7.5590000000000002</v>
      </c>
      <c r="I87">
        <v>34</v>
      </c>
      <c r="J87">
        <v>87</v>
      </c>
      <c r="K87">
        <v>100</v>
      </c>
    </row>
    <row r="88" spans="1:11" x14ac:dyDescent="0.3">
      <c r="A88" t="s">
        <v>1020</v>
      </c>
      <c r="B88" t="s">
        <v>1021</v>
      </c>
      <c r="C88">
        <v>128</v>
      </c>
      <c r="D88" t="s">
        <v>28</v>
      </c>
      <c r="E88" s="1">
        <v>45499</v>
      </c>
      <c r="F88">
        <v>7.6</v>
      </c>
      <c r="H88">
        <v>7.5570000000000004</v>
      </c>
      <c r="J88">
        <v>56</v>
      </c>
      <c r="K88">
        <v>78</v>
      </c>
    </row>
    <row r="89" spans="1:11" x14ac:dyDescent="0.3">
      <c r="A89" t="s">
        <v>212</v>
      </c>
      <c r="B89" t="s">
        <v>213</v>
      </c>
      <c r="C89">
        <v>98</v>
      </c>
      <c r="D89" t="s">
        <v>12</v>
      </c>
      <c r="E89" s="1">
        <v>44876</v>
      </c>
      <c r="F89">
        <v>7.6</v>
      </c>
      <c r="H89">
        <v>7.5549999999999997</v>
      </c>
      <c r="J89">
        <v>84</v>
      </c>
      <c r="K89">
        <v>98</v>
      </c>
    </row>
    <row r="90" spans="1:11" x14ac:dyDescent="0.3">
      <c r="A90" t="s">
        <v>946</v>
      </c>
      <c r="B90" t="s">
        <v>947</v>
      </c>
      <c r="C90">
        <v>81</v>
      </c>
      <c r="D90" t="s">
        <v>862</v>
      </c>
      <c r="E90" s="1">
        <v>45420</v>
      </c>
      <c r="F90">
        <v>7.6</v>
      </c>
      <c r="H90">
        <v>7.5419999999999998</v>
      </c>
      <c r="J90">
        <v>72</v>
      </c>
      <c r="K90">
        <v>81</v>
      </c>
    </row>
    <row r="91" spans="1:11" x14ac:dyDescent="0.3">
      <c r="A91" t="s">
        <v>220</v>
      </c>
      <c r="B91" t="s">
        <v>221</v>
      </c>
      <c r="C91">
        <v>167</v>
      </c>
      <c r="D91" t="s">
        <v>15</v>
      </c>
      <c r="E91" s="1">
        <v>45706</v>
      </c>
      <c r="F91">
        <v>7.6</v>
      </c>
      <c r="H91">
        <v>7.5369999999999999</v>
      </c>
      <c r="J91">
        <v>84</v>
      </c>
      <c r="K91">
        <v>97</v>
      </c>
    </row>
    <row r="92" spans="1:11" x14ac:dyDescent="0.3">
      <c r="A92" t="s">
        <v>1787</v>
      </c>
      <c r="B92" t="s">
        <v>1788</v>
      </c>
      <c r="C92">
        <v>125</v>
      </c>
      <c r="D92" t="s">
        <v>15</v>
      </c>
      <c r="E92" s="1">
        <v>44757</v>
      </c>
      <c r="H92">
        <v>7.5289999999999999</v>
      </c>
      <c r="J92">
        <v>43</v>
      </c>
      <c r="K92">
        <v>34</v>
      </c>
    </row>
    <row r="93" spans="1:11" x14ac:dyDescent="0.3">
      <c r="A93" t="s">
        <v>964</v>
      </c>
      <c r="B93" t="s">
        <v>965</v>
      </c>
      <c r="C93">
        <v>103</v>
      </c>
      <c r="D93" t="s">
        <v>28</v>
      </c>
      <c r="E93" s="1">
        <v>44736</v>
      </c>
      <c r="H93">
        <v>7.5279999999999996</v>
      </c>
      <c r="J93">
        <v>65</v>
      </c>
      <c r="K93">
        <v>81</v>
      </c>
    </row>
    <row r="94" spans="1:11" x14ac:dyDescent="0.3">
      <c r="A94" t="s">
        <v>286</v>
      </c>
      <c r="B94" t="s">
        <v>287</v>
      </c>
      <c r="C94">
        <v>151</v>
      </c>
      <c r="D94" t="s">
        <v>28</v>
      </c>
      <c r="E94" s="1">
        <v>45373</v>
      </c>
      <c r="F94">
        <v>7.6</v>
      </c>
      <c r="H94">
        <v>7.524</v>
      </c>
      <c r="J94">
        <v>86</v>
      </c>
      <c r="K94">
        <v>96</v>
      </c>
    </row>
    <row r="95" spans="1:11" x14ac:dyDescent="0.3">
      <c r="A95" t="s">
        <v>1462</v>
      </c>
      <c r="B95" t="s">
        <v>1463</v>
      </c>
      <c r="C95">
        <v>127</v>
      </c>
      <c r="D95" t="s">
        <v>15</v>
      </c>
      <c r="E95" s="1">
        <v>45646</v>
      </c>
      <c r="H95">
        <v>7.5229999999999997</v>
      </c>
      <c r="J95">
        <v>51</v>
      </c>
      <c r="K95">
        <v>56</v>
      </c>
    </row>
    <row r="96" spans="1:11" x14ac:dyDescent="0.3">
      <c r="A96" t="s">
        <v>1665</v>
      </c>
      <c r="B96" t="s">
        <v>1666</v>
      </c>
      <c r="C96">
        <v>126</v>
      </c>
      <c r="D96" t="s">
        <v>28</v>
      </c>
      <c r="E96" s="1">
        <v>44834</v>
      </c>
      <c r="H96">
        <v>7.5149999999999997</v>
      </c>
      <c r="J96">
        <v>39</v>
      </c>
      <c r="K96">
        <v>43</v>
      </c>
    </row>
    <row r="97" spans="1:11" x14ac:dyDescent="0.3">
      <c r="A97" t="s">
        <v>264</v>
      </c>
      <c r="B97" t="s">
        <v>265</v>
      </c>
      <c r="C97">
        <v>95</v>
      </c>
      <c r="D97" t="s">
        <v>15</v>
      </c>
      <c r="E97" s="1">
        <v>44694</v>
      </c>
      <c r="F97">
        <v>7.7</v>
      </c>
      <c r="H97">
        <v>7.5140000000000002</v>
      </c>
      <c r="J97">
        <v>89</v>
      </c>
      <c r="K97">
        <v>97</v>
      </c>
    </row>
    <row r="98" spans="1:11" x14ac:dyDescent="0.3">
      <c r="A98" t="s">
        <v>1392</v>
      </c>
      <c r="B98" t="s">
        <v>1393</v>
      </c>
      <c r="C98">
        <v>114</v>
      </c>
      <c r="D98" t="s">
        <v>28</v>
      </c>
      <c r="E98" s="1">
        <v>45212</v>
      </c>
      <c r="F98">
        <v>7.6</v>
      </c>
      <c r="H98">
        <v>7.5129999999999999</v>
      </c>
      <c r="J98">
        <v>61</v>
      </c>
      <c r="K98">
        <v>61</v>
      </c>
    </row>
    <row r="99" spans="1:11" x14ac:dyDescent="0.3">
      <c r="A99" t="s">
        <v>633</v>
      </c>
      <c r="B99" t="s">
        <v>634</v>
      </c>
      <c r="C99">
        <v>132</v>
      </c>
      <c r="D99" t="s">
        <v>28</v>
      </c>
      <c r="E99" s="1">
        <v>45282</v>
      </c>
      <c r="F99">
        <v>7.6</v>
      </c>
      <c r="H99">
        <v>7.5069999999999997</v>
      </c>
      <c r="J99">
        <v>73</v>
      </c>
      <c r="K99">
        <v>89</v>
      </c>
    </row>
    <row r="100" spans="1:11" x14ac:dyDescent="0.3">
      <c r="A100" s="16" t="s">
        <v>687</v>
      </c>
      <c r="B100" s="16" t="s">
        <v>688</v>
      </c>
      <c r="C100" s="16">
        <v>118</v>
      </c>
      <c r="D100" s="16" t="s">
        <v>15</v>
      </c>
      <c r="E100" s="17">
        <v>44757</v>
      </c>
      <c r="F100" s="16">
        <v>7.6</v>
      </c>
      <c r="G100" s="16">
        <v>1600</v>
      </c>
      <c r="H100" s="18">
        <v>7.5</v>
      </c>
      <c r="I100" s="18">
        <v>32</v>
      </c>
      <c r="J100">
        <v>70</v>
      </c>
      <c r="K100">
        <v>88</v>
      </c>
    </row>
    <row r="101" spans="1:11" x14ac:dyDescent="0.3">
      <c r="A101" t="s">
        <v>144</v>
      </c>
      <c r="B101" t="s">
        <v>145</v>
      </c>
      <c r="C101">
        <v>114</v>
      </c>
      <c r="D101" t="s">
        <v>15</v>
      </c>
      <c r="E101" s="1">
        <v>44806</v>
      </c>
      <c r="H101">
        <v>7.5</v>
      </c>
      <c r="J101">
        <v>45</v>
      </c>
      <c r="K101">
        <v>19</v>
      </c>
    </row>
    <row r="102" spans="1:11" x14ac:dyDescent="0.3">
      <c r="A102" t="s">
        <v>725</v>
      </c>
      <c r="B102" t="s">
        <v>726</v>
      </c>
      <c r="C102">
        <v>91</v>
      </c>
      <c r="D102" t="s">
        <v>12</v>
      </c>
      <c r="E102" s="1">
        <v>45730</v>
      </c>
      <c r="J102">
        <v>69</v>
      </c>
      <c r="K102">
        <v>86</v>
      </c>
    </row>
    <row r="103" spans="1:11" x14ac:dyDescent="0.3">
      <c r="A103" t="s">
        <v>1244</v>
      </c>
      <c r="B103" t="s">
        <v>1245</v>
      </c>
      <c r="C103">
        <v>107</v>
      </c>
      <c r="D103" t="s">
        <v>15</v>
      </c>
      <c r="E103" s="1">
        <v>45366</v>
      </c>
      <c r="J103">
        <v>54</v>
      </c>
      <c r="K103">
        <v>70</v>
      </c>
    </row>
    <row r="104" spans="1:11" x14ac:dyDescent="0.3">
      <c r="A104" t="s">
        <v>719</v>
      </c>
      <c r="B104" t="s">
        <v>720</v>
      </c>
      <c r="C104">
        <v>100</v>
      </c>
      <c r="D104" t="s">
        <v>12</v>
      </c>
      <c r="E104" s="1">
        <v>44673</v>
      </c>
      <c r="J104">
        <v>64</v>
      </c>
      <c r="K104">
        <v>87</v>
      </c>
    </row>
    <row r="105" spans="1:11" x14ac:dyDescent="0.3">
      <c r="A105" t="s">
        <v>302</v>
      </c>
      <c r="B105" t="s">
        <v>303</v>
      </c>
      <c r="C105">
        <v>163</v>
      </c>
      <c r="D105" t="s">
        <v>15</v>
      </c>
      <c r="E105" s="1">
        <v>45119</v>
      </c>
      <c r="F105">
        <v>7.6</v>
      </c>
      <c r="J105">
        <v>81</v>
      </c>
      <c r="K105">
        <v>96</v>
      </c>
    </row>
    <row r="106" spans="1:11" x14ac:dyDescent="0.3">
      <c r="A106" t="s">
        <v>543</v>
      </c>
      <c r="B106" t="s">
        <v>544</v>
      </c>
      <c r="C106">
        <v>96</v>
      </c>
      <c r="D106" t="s">
        <v>12</v>
      </c>
      <c r="E106" s="1">
        <v>45457</v>
      </c>
      <c r="F106">
        <v>7.5</v>
      </c>
      <c r="J106">
        <v>73</v>
      </c>
      <c r="K106">
        <v>91</v>
      </c>
    </row>
    <row r="107" spans="1:11" x14ac:dyDescent="0.3">
      <c r="A107" s="16" t="s">
        <v>695</v>
      </c>
      <c r="B107" s="16" t="s">
        <v>696</v>
      </c>
      <c r="C107" s="16">
        <v>127</v>
      </c>
      <c r="D107" s="16" t="s">
        <v>15</v>
      </c>
      <c r="E107" s="17">
        <v>45716</v>
      </c>
      <c r="F107" s="16">
        <v>8</v>
      </c>
      <c r="G107" s="16">
        <v>1200</v>
      </c>
      <c r="I107">
        <v>44</v>
      </c>
      <c r="J107">
        <v>71</v>
      </c>
      <c r="K107">
        <v>87</v>
      </c>
    </row>
    <row r="108" spans="1:11" x14ac:dyDescent="0.3">
      <c r="A108" t="s">
        <v>186</v>
      </c>
      <c r="B108" t="s">
        <v>187</v>
      </c>
      <c r="C108">
        <v>129</v>
      </c>
      <c r="D108" t="s">
        <v>18</v>
      </c>
      <c r="E108" s="1">
        <v>44715</v>
      </c>
      <c r="F108">
        <v>7.8</v>
      </c>
      <c r="J108">
        <v>81</v>
      </c>
      <c r="K108">
        <v>100</v>
      </c>
    </row>
    <row r="109" spans="1:11" x14ac:dyDescent="0.3">
      <c r="A109" t="s">
        <v>523</v>
      </c>
      <c r="B109" t="s">
        <v>524</v>
      </c>
      <c r="C109">
        <v>135</v>
      </c>
      <c r="D109" t="s">
        <v>15</v>
      </c>
      <c r="E109" s="1">
        <v>45045</v>
      </c>
      <c r="F109">
        <v>7.6</v>
      </c>
      <c r="J109">
        <v>83</v>
      </c>
      <c r="K109">
        <v>92</v>
      </c>
    </row>
    <row r="110" spans="1:11" x14ac:dyDescent="0.3">
      <c r="A110" t="s">
        <v>669</v>
      </c>
      <c r="B110" t="s">
        <v>670</v>
      </c>
      <c r="C110">
        <v>98</v>
      </c>
      <c r="D110" t="s">
        <v>15</v>
      </c>
      <c r="E110" s="1">
        <v>45177</v>
      </c>
      <c r="I110">
        <v>54</v>
      </c>
      <c r="J110">
        <v>69</v>
      </c>
      <c r="K110">
        <v>88</v>
      </c>
    </row>
    <row r="111" spans="1:11" x14ac:dyDescent="0.3">
      <c r="A111" t="s">
        <v>304</v>
      </c>
      <c r="B111" t="s">
        <v>305</v>
      </c>
      <c r="C111">
        <v>107</v>
      </c>
      <c r="D111" t="s">
        <v>18</v>
      </c>
      <c r="E111" s="1">
        <v>45112</v>
      </c>
      <c r="J111">
        <v>80</v>
      </c>
      <c r="K111">
        <v>96</v>
      </c>
    </row>
    <row r="112" spans="1:11" x14ac:dyDescent="0.3">
      <c r="A112" t="s">
        <v>1807</v>
      </c>
      <c r="B112" t="s">
        <v>1808</v>
      </c>
      <c r="C112">
        <v>141</v>
      </c>
      <c r="D112" t="s">
        <v>63</v>
      </c>
      <c r="E112" s="1">
        <v>44952</v>
      </c>
      <c r="J112">
        <v>51</v>
      </c>
      <c r="K112">
        <v>32</v>
      </c>
    </row>
    <row r="113" spans="1:11" x14ac:dyDescent="0.3">
      <c r="A113" t="s">
        <v>310</v>
      </c>
      <c r="B113" t="s">
        <v>311</v>
      </c>
      <c r="C113">
        <v>114</v>
      </c>
      <c r="D113" t="s">
        <v>28</v>
      </c>
      <c r="E113" s="1">
        <v>44869</v>
      </c>
      <c r="F113">
        <v>7.7</v>
      </c>
      <c r="J113">
        <v>87</v>
      </c>
      <c r="K113">
        <v>96</v>
      </c>
    </row>
    <row r="114" spans="1:11" x14ac:dyDescent="0.3">
      <c r="A114" s="16" t="s">
        <v>330</v>
      </c>
      <c r="B114" s="16" t="s">
        <v>331</v>
      </c>
      <c r="C114" s="16">
        <v>102</v>
      </c>
      <c r="D114" s="16" t="s">
        <v>15</v>
      </c>
      <c r="E114" s="17">
        <v>45779</v>
      </c>
      <c r="F114" s="16">
        <v>8.1</v>
      </c>
      <c r="G114" s="16">
        <v>389</v>
      </c>
      <c r="J114">
        <v>75</v>
      </c>
      <c r="K114">
        <v>95</v>
      </c>
    </row>
    <row r="115" spans="1:11" x14ac:dyDescent="0.3">
      <c r="A115" t="s">
        <v>1058</v>
      </c>
      <c r="B115" t="s">
        <v>1059</v>
      </c>
      <c r="C115">
        <v>159</v>
      </c>
      <c r="D115" t="s">
        <v>15</v>
      </c>
      <c r="E115" s="1">
        <v>44736</v>
      </c>
      <c r="J115">
        <v>64</v>
      </c>
      <c r="K115">
        <v>77</v>
      </c>
    </row>
    <row r="116" spans="1:11" x14ac:dyDescent="0.3">
      <c r="A116" t="s">
        <v>152</v>
      </c>
      <c r="B116" t="s">
        <v>153</v>
      </c>
      <c r="C116">
        <v>82</v>
      </c>
      <c r="D116" t="s">
        <v>12</v>
      </c>
      <c r="E116" s="1">
        <v>45660</v>
      </c>
      <c r="F116">
        <v>7.5</v>
      </c>
      <c r="J116">
        <v>83</v>
      </c>
      <c r="K116">
        <v>100</v>
      </c>
    </row>
    <row r="117" spans="1:11" x14ac:dyDescent="0.3">
      <c r="A117" t="s">
        <v>170</v>
      </c>
      <c r="B117" t="s">
        <v>171</v>
      </c>
      <c r="C117">
        <v>88</v>
      </c>
      <c r="D117" t="s">
        <v>18</v>
      </c>
      <c r="E117" s="1">
        <v>45415</v>
      </c>
      <c r="F117">
        <v>7.5</v>
      </c>
      <c r="J117">
        <v>76</v>
      </c>
      <c r="K117">
        <v>100</v>
      </c>
    </row>
    <row r="118" spans="1:11" x14ac:dyDescent="0.3">
      <c r="A118" t="s">
        <v>588</v>
      </c>
      <c r="B118" t="s">
        <v>589</v>
      </c>
      <c r="C118">
        <v>148</v>
      </c>
      <c r="D118" t="s">
        <v>28</v>
      </c>
      <c r="E118" s="1">
        <v>45436</v>
      </c>
      <c r="J118">
        <v>79</v>
      </c>
      <c r="K118">
        <v>90</v>
      </c>
    </row>
    <row r="119" spans="1:11" x14ac:dyDescent="0.3">
      <c r="A119" t="s">
        <v>924</v>
      </c>
      <c r="B119" t="s">
        <v>925</v>
      </c>
      <c r="C119">
        <v>134</v>
      </c>
      <c r="D119" t="s">
        <v>15</v>
      </c>
      <c r="E119" s="1">
        <v>44888</v>
      </c>
      <c r="J119">
        <v>62</v>
      </c>
      <c r="K119">
        <v>82</v>
      </c>
    </row>
    <row r="120" spans="1:11" x14ac:dyDescent="0.3">
      <c r="A120" t="s">
        <v>765</v>
      </c>
      <c r="B120" t="s">
        <v>766</v>
      </c>
      <c r="C120">
        <v>98</v>
      </c>
      <c r="D120" t="s">
        <v>63</v>
      </c>
      <c r="E120" s="1">
        <v>44771</v>
      </c>
      <c r="J120">
        <v>66</v>
      </c>
      <c r="K120">
        <v>86</v>
      </c>
    </row>
    <row r="121" spans="1:11" x14ac:dyDescent="0.3">
      <c r="A121" t="s">
        <v>232</v>
      </c>
      <c r="B121" t="s">
        <v>233</v>
      </c>
      <c r="C121">
        <v>107</v>
      </c>
      <c r="D121" t="s">
        <v>28</v>
      </c>
      <c r="E121" s="1">
        <v>45506</v>
      </c>
      <c r="F121">
        <v>7.7</v>
      </c>
      <c r="J121">
        <v>83</v>
      </c>
      <c r="K121">
        <v>97</v>
      </c>
    </row>
    <row r="122" spans="1:11" x14ac:dyDescent="0.3">
      <c r="A122" t="s">
        <v>410</v>
      </c>
      <c r="B122" t="s">
        <v>411</v>
      </c>
      <c r="C122">
        <v>91</v>
      </c>
      <c r="D122" t="s">
        <v>28</v>
      </c>
      <c r="E122" s="1">
        <v>45044</v>
      </c>
      <c r="J122">
        <v>70</v>
      </c>
      <c r="K122">
        <v>94</v>
      </c>
    </row>
    <row r="123" spans="1:11" x14ac:dyDescent="0.3">
      <c r="A123" t="s">
        <v>294</v>
      </c>
      <c r="B123" t="s">
        <v>295</v>
      </c>
      <c r="C123">
        <v>124</v>
      </c>
      <c r="D123" t="s">
        <v>15</v>
      </c>
      <c r="E123" s="1">
        <v>45268</v>
      </c>
      <c r="J123">
        <v>91</v>
      </c>
      <c r="K123">
        <v>96</v>
      </c>
    </row>
    <row r="124" spans="1:11" x14ac:dyDescent="0.3">
      <c r="A124" t="s">
        <v>57</v>
      </c>
      <c r="B124" t="s">
        <v>58</v>
      </c>
      <c r="C124">
        <v>121</v>
      </c>
      <c r="D124" t="s">
        <v>28</v>
      </c>
      <c r="E124" s="1">
        <v>45401</v>
      </c>
      <c r="J124">
        <v>77</v>
      </c>
      <c r="K124">
        <v>86</v>
      </c>
    </row>
    <row r="125" spans="1:11" x14ac:dyDescent="0.3">
      <c r="A125" t="s">
        <v>326</v>
      </c>
      <c r="B125" t="s">
        <v>327</v>
      </c>
      <c r="C125">
        <v>102</v>
      </c>
      <c r="D125" t="s">
        <v>90</v>
      </c>
      <c r="E125" s="1">
        <v>44632</v>
      </c>
      <c r="F125">
        <v>7.9</v>
      </c>
      <c r="I125">
        <v>23</v>
      </c>
      <c r="J125">
        <v>73</v>
      </c>
      <c r="K125">
        <v>96</v>
      </c>
    </row>
    <row r="126" spans="1:11" x14ac:dyDescent="0.3">
      <c r="A126" t="s">
        <v>458</v>
      </c>
      <c r="B126" t="s">
        <v>459</v>
      </c>
      <c r="C126">
        <v>121</v>
      </c>
      <c r="D126" t="s">
        <v>28</v>
      </c>
      <c r="E126" s="1">
        <v>45534</v>
      </c>
      <c r="J126">
        <v>74</v>
      </c>
      <c r="K126">
        <v>93</v>
      </c>
    </row>
    <row r="127" spans="1:11" x14ac:dyDescent="0.3">
      <c r="A127" t="s">
        <v>1408</v>
      </c>
      <c r="B127" t="s">
        <v>1409</v>
      </c>
      <c r="C127">
        <v>105</v>
      </c>
      <c r="D127" t="s">
        <v>28</v>
      </c>
      <c r="E127" s="1">
        <v>45006</v>
      </c>
      <c r="J127">
        <v>52</v>
      </c>
      <c r="K127">
        <v>60</v>
      </c>
    </row>
    <row r="128" spans="1:11" x14ac:dyDescent="0.3">
      <c r="A128" t="s">
        <v>733</v>
      </c>
      <c r="B128" t="s">
        <v>734</v>
      </c>
      <c r="C128">
        <v>97</v>
      </c>
      <c r="D128" t="s">
        <v>12</v>
      </c>
      <c r="E128" s="1">
        <v>45520</v>
      </c>
      <c r="J128">
        <v>70</v>
      </c>
      <c r="K128">
        <v>86</v>
      </c>
    </row>
    <row r="129" spans="1:11" x14ac:dyDescent="0.3">
      <c r="A129" t="s">
        <v>886</v>
      </c>
      <c r="B129" t="s">
        <v>887</v>
      </c>
      <c r="C129">
        <v>89</v>
      </c>
      <c r="D129" t="s">
        <v>12</v>
      </c>
      <c r="E129" s="1">
        <v>45688</v>
      </c>
      <c r="J129">
        <v>66</v>
      </c>
      <c r="K129">
        <v>82</v>
      </c>
    </row>
    <row r="130" spans="1:11" x14ac:dyDescent="0.3">
      <c r="A130" t="s">
        <v>1264</v>
      </c>
      <c r="B130" t="s">
        <v>1265</v>
      </c>
      <c r="C130">
        <v>122</v>
      </c>
      <c r="D130" t="s">
        <v>12</v>
      </c>
      <c r="E130" s="1">
        <v>44659</v>
      </c>
      <c r="J130">
        <v>47</v>
      </c>
      <c r="K130">
        <v>69</v>
      </c>
    </row>
    <row r="131" spans="1:11" x14ac:dyDescent="0.3">
      <c r="A131" t="s">
        <v>1526</v>
      </c>
      <c r="B131" t="s">
        <v>1527</v>
      </c>
      <c r="C131">
        <v>127</v>
      </c>
      <c r="D131" t="s">
        <v>28</v>
      </c>
      <c r="E131" s="1">
        <v>44778</v>
      </c>
      <c r="J131">
        <v>49</v>
      </c>
      <c r="K131">
        <v>52</v>
      </c>
    </row>
    <row r="132" spans="1:11" x14ac:dyDescent="0.3">
      <c r="A132" t="s">
        <v>464</v>
      </c>
      <c r="B132" t="s">
        <v>465</v>
      </c>
      <c r="C132">
        <v>206</v>
      </c>
      <c r="D132" t="s">
        <v>28</v>
      </c>
      <c r="E132" s="1">
        <v>45219</v>
      </c>
      <c r="F132">
        <v>7.6</v>
      </c>
      <c r="J132">
        <v>89</v>
      </c>
      <c r="K132">
        <v>93</v>
      </c>
    </row>
    <row r="133" spans="1:11" x14ac:dyDescent="0.3">
      <c r="A133" t="s">
        <v>643</v>
      </c>
      <c r="B133" t="s">
        <v>644</v>
      </c>
      <c r="C133">
        <v>111</v>
      </c>
      <c r="D133" t="s">
        <v>15</v>
      </c>
      <c r="E133" s="1">
        <v>44946</v>
      </c>
      <c r="J133">
        <v>66</v>
      </c>
      <c r="K133">
        <v>89</v>
      </c>
    </row>
    <row r="134" spans="1:11" x14ac:dyDescent="0.3">
      <c r="A134" t="s">
        <v>290</v>
      </c>
      <c r="B134" t="s">
        <v>291</v>
      </c>
      <c r="C134">
        <v>105</v>
      </c>
      <c r="D134" t="s">
        <v>28</v>
      </c>
      <c r="E134" s="1">
        <v>45282</v>
      </c>
      <c r="F134">
        <v>7.6</v>
      </c>
      <c r="J134">
        <v>90</v>
      </c>
      <c r="K134">
        <v>96</v>
      </c>
    </row>
    <row r="135" spans="1:11" x14ac:dyDescent="0.3">
      <c r="A135" t="s">
        <v>773</v>
      </c>
      <c r="B135" t="s">
        <v>774</v>
      </c>
      <c r="C135">
        <v>122</v>
      </c>
      <c r="D135" t="s">
        <v>15</v>
      </c>
      <c r="E135" s="1">
        <v>45702</v>
      </c>
      <c r="F135">
        <v>7.8</v>
      </c>
      <c r="J135">
        <v>64</v>
      </c>
      <c r="K135">
        <v>85</v>
      </c>
    </row>
    <row r="136" spans="1:11" x14ac:dyDescent="0.3">
      <c r="A136" t="s">
        <v>883</v>
      </c>
      <c r="B136" t="s">
        <v>884</v>
      </c>
      <c r="C136">
        <v>93</v>
      </c>
      <c r="D136" t="s">
        <v>63</v>
      </c>
      <c r="E136" s="1">
        <v>44680</v>
      </c>
      <c r="J136">
        <v>56</v>
      </c>
      <c r="K136">
        <v>83</v>
      </c>
    </row>
    <row r="137" spans="1:11" x14ac:dyDescent="0.3">
      <c r="A137" t="s">
        <v>986</v>
      </c>
      <c r="B137" t="s">
        <v>987</v>
      </c>
      <c r="C137">
        <v>122</v>
      </c>
      <c r="D137" t="s">
        <v>28</v>
      </c>
      <c r="E137" s="1">
        <v>45093</v>
      </c>
      <c r="J137">
        <v>57</v>
      </c>
      <c r="K137">
        <v>80</v>
      </c>
    </row>
    <row r="138" spans="1:11" x14ac:dyDescent="0.3">
      <c r="A138" t="s">
        <v>507</v>
      </c>
      <c r="B138" t="s">
        <v>508</v>
      </c>
      <c r="C138">
        <v>83</v>
      </c>
      <c r="D138" t="s">
        <v>28</v>
      </c>
      <c r="E138" s="1">
        <v>45517</v>
      </c>
      <c r="J138">
        <v>71</v>
      </c>
      <c r="K138">
        <v>92</v>
      </c>
    </row>
    <row r="139" spans="1:11" x14ac:dyDescent="0.3">
      <c r="A139" t="s">
        <v>596</v>
      </c>
      <c r="B139" t="s">
        <v>597</v>
      </c>
      <c r="C139">
        <v>90</v>
      </c>
      <c r="D139" t="s">
        <v>25</v>
      </c>
      <c r="E139" s="1">
        <v>45337</v>
      </c>
      <c r="J139">
        <v>70</v>
      </c>
      <c r="K139">
        <v>90</v>
      </c>
    </row>
    <row r="140" spans="1:11" x14ac:dyDescent="0.3">
      <c r="A140" t="s">
        <v>1306</v>
      </c>
      <c r="B140" t="s">
        <v>1307</v>
      </c>
      <c r="C140">
        <v>96</v>
      </c>
      <c r="D140" t="s">
        <v>15</v>
      </c>
      <c r="E140" s="1">
        <v>44729</v>
      </c>
      <c r="J140">
        <v>52</v>
      </c>
      <c r="K140">
        <v>67</v>
      </c>
    </row>
    <row r="141" spans="1:11" x14ac:dyDescent="0.3">
      <c r="A141" t="s">
        <v>910</v>
      </c>
      <c r="B141" t="s">
        <v>911</v>
      </c>
      <c r="C141">
        <v>102</v>
      </c>
      <c r="D141" t="s">
        <v>12</v>
      </c>
      <c r="E141" s="1">
        <v>45251</v>
      </c>
      <c r="J141">
        <v>65</v>
      </c>
      <c r="K141">
        <v>82</v>
      </c>
    </row>
    <row r="142" spans="1:11" x14ac:dyDescent="0.3">
      <c r="A142" t="s">
        <v>1520</v>
      </c>
      <c r="B142" t="s">
        <v>1521</v>
      </c>
      <c r="C142">
        <v>114</v>
      </c>
      <c r="D142" t="s">
        <v>15</v>
      </c>
      <c r="E142" s="1">
        <v>44890</v>
      </c>
      <c r="J142">
        <v>41</v>
      </c>
      <c r="K142">
        <v>53</v>
      </c>
    </row>
    <row r="143" spans="1:11" x14ac:dyDescent="0.3">
      <c r="A143" t="s">
        <v>1450</v>
      </c>
      <c r="B143" t="s">
        <v>1451</v>
      </c>
      <c r="C143">
        <v>189</v>
      </c>
      <c r="D143" t="s">
        <v>28</v>
      </c>
      <c r="E143" s="1">
        <v>44918</v>
      </c>
      <c r="J143">
        <v>61</v>
      </c>
      <c r="K143">
        <v>57</v>
      </c>
    </row>
    <row r="144" spans="1:11" x14ac:dyDescent="0.3">
      <c r="A144" t="s">
        <v>1156</v>
      </c>
      <c r="B144" t="s">
        <v>1157</v>
      </c>
      <c r="C144">
        <v>83</v>
      </c>
      <c r="D144" t="s">
        <v>12</v>
      </c>
      <c r="E144" s="1">
        <v>45282</v>
      </c>
      <c r="J144">
        <v>56</v>
      </c>
      <c r="K144">
        <v>73</v>
      </c>
    </row>
    <row r="145" spans="1:11" x14ac:dyDescent="0.3">
      <c r="A145" t="s">
        <v>41</v>
      </c>
      <c r="B145" t="s">
        <v>42</v>
      </c>
      <c r="C145">
        <v>134</v>
      </c>
      <c r="D145" t="s">
        <v>15</v>
      </c>
      <c r="E145" s="1">
        <v>45016</v>
      </c>
      <c r="J145">
        <v>72</v>
      </c>
      <c r="K145">
        <v>91</v>
      </c>
    </row>
    <row r="146" spans="1:11" x14ac:dyDescent="0.3">
      <c r="A146" t="s">
        <v>422</v>
      </c>
      <c r="B146" t="s">
        <v>423</v>
      </c>
      <c r="C146">
        <v>115</v>
      </c>
      <c r="D146" t="s">
        <v>12</v>
      </c>
      <c r="E146" s="1">
        <v>44750</v>
      </c>
      <c r="J146">
        <v>74</v>
      </c>
      <c r="K146">
        <v>94</v>
      </c>
    </row>
    <row r="147" spans="1:11" x14ac:dyDescent="0.3">
      <c r="A147" t="s">
        <v>420</v>
      </c>
      <c r="B147" t="s">
        <v>421</v>
      </c>
      <c r="C147">
        <v>115</v>
      </c>
      <c r="D147" t="s">
        <v>12</v>
      </c>
      <c r="E147" s="1">
        <v>44757</v>
      </c>
      <c r="J147">
        <v>70</v>
      </c>
      <c r="K147">
        <v>94</v>
      </c>
    </row>
    <row r="148" spans="1:11" x14ac:dyDescent="0.3">
      <c r="A148" t="s">
        <v>372</v>
      </c>
      <c r="B148" t="s">
        <v>373</v>
      </c>
      <c r="C148">
        <v>100</v>
      </c>
      <c r="D148" t="s">
        <v>12</v>
      </c>
      <c r="E148" s="1">
        <v>44631</v>
      </c>
      <c r="J148">
        <v>83</v>
      </c>
      <c r="K148">
        <v>95</v>
      </c>
    </row>
    <row r="149" spans="1:11" x14ac:dyDescent="0.3">
      <c r="A149" t="s">
        <v>741</v>
      </c>
      <c r="B149" t="s">
        <v>742</v>
      </c>
      <c r="C149">
        <v>134</v>
      </c>
      <c r="D149" t="s">
        <v>18</v>
      </c>
      <c r="E149" s="1">
        <v>45436</v>
      </c>
      <c r="J149">
        <v>75</v>
      </c>
      <c r="K149">
        <v>86</v>
      </c>
    </row>
    <row r="150" spans="1:11" x14ac:dyDescent="0.3">
      <c r="A150" t="s">
        <v>1464</v>
      </c>
      <c r="B150" t="s">
        <v>1465</v>
      </c>
      <c r="C150">
        <v>118</v>
      </c>
      <c r="D150" t="s">
        <v>12</v>
      </c>
      <c r="E150" s="1">
        <v>45646</v>
      </c>
      <c r="J150">
        <v>56</v>
      </c>
      <c r="K150">
        <v>56</v>
      </c>
    </row>
    <row r="151" spans="1:11" x14ac:dyDescent="0.3">
      <c r="A151" t="s">
        <v>476</v>
      </c>
      <c r="B151" t="s">
        <v>477</v>
      </c>
      <c r="C151">
        <v>129</v>
      </c>
      <c r="D151" t="s">
        <v>15</v>
      </c>
      <c r="E151" s="1">
        <v>44869</v>
      </c>
      <c r="J151">
        <v>64</v>
      </c>
      <c r="K151">
        <v>93</v>
      </c>
    </row>
    <row r="152" spans="1:11" x14ac:dyDescent="0.3">
      <c r="A152" t="s">
        <v>184</v>
      </c>
      <c r="B152" t="s">
        <v>185</v>
      </c>
      <c r="C152">
        <v>83</v>
      </c>
      <c r="D152" t="s">
        <v>15</v>
      </c>
      <c r="E152" s="1">
        <v>44841</v>
      </c>
      <c r="G152">
        <v>477</v>
      </c>
      <c r="I152">
        <v>13</v>
      </c>
      <c r="J152">
        <v>73</v>
      </c>
      <c r="K152">
        <v>100</v>
      </c>
    </row>
    <row r="153" spans="1:11" x14ac:dyDescent="0.3">
      <c r="A153" t="s">
        <v>560</v>
      </c>
      <c r="B153" t="s">
        <v>561</v>
      </c>
      <c r="C153">
        <v>93</v>
      </c>
      <c r="D153" t="s">
        <v>15</v>
      </c>
      <c r="E153" s="1">
        <v>45072</v>
      </c>
      <c r="G153">
        <v>816</v>
      </c>
      <c r="I153">
        <v>13</v>
      </c>
      <c r="J153">
        <v>67</v>
      </c>
      <c r="K153">
        <v>91</v>
      </c>
    </row>
    <row r="154" spans="1:11" x14ac:dyDescent="0.3">
      <c r="A154" t="s">
        <v>444</v>
      </c>
      <c r="B154" t="s">
        <v>445</v>
      </c>
      <c r="C154">
        <v>109</v>
      </c>
      <c r="D154" t="s">
        <v>15</v>
      </c>
      <c r="E154" s="1">
        <v>45651</v>
      </c>
      <c r="J154">
        <v>76</v>
      </c>
      <c r="K154">
        <v>93</v>
      </c>
    </row>
    <row r="155" spans="1:11" x14ac:dyDescent="0.3">
      <c r="A155" t="s">
        <v>344</v>
      </c>
      <c r="B155" t="s">
        <v>345</v>
      </c>
      <c r="C155">
        <v>131</v>
      </c>
      <c r="D155" t="s">
        <v>18</v>
      </c>
      <c r="E155" s="1">
        <v>45380</v>
      </c>
      <c r="J155">
        <v>91</v>
      </c>
      <c r="K155">
        <v>95</v>
      </c>
    </row>
    <row r="156" spans="1:11" x14ac:dyDescent="0.3">
      <c r="A156" t="s">
        <v>982</v>
      </c>
      <c r="B156" t="s">
        <v>983</v>
      </c>
      <c r="C156">
        <v>115</v>
      </c>
      <c r="D156" t="s">
        <v>28</v>
      </c>
      <c r="E156" s="1">
        <v>45414</v>
      </c>
      <c r="J156">
        <v>67</v>
      </c>
      <c r="K156">
        <v>80</v>
      </c>
    </row>
    <row r="157" spans="1:11" x14ac:dyDescent="0.3">
      <c r="A157" t="s">
        <v>1324</v>
      </c>
      <c r="B157" t="s">
        <v>1325</v>
      </c>
      <c r="C157">
        <v>115</v>
      </c>
      <c r="D157" t="s">
        <v>28</v>
      </c>
      <c r="E157" s="1">
        <v>45450</v>
      </c>
      <c r="J157">
        <v>54</v>
      </c>
      <c r="K157">
        <v>65</v>
      </c>
    </row>
    <row r="158" spans="1:11" x14ac:dyDescent="0.3">
      <c r="A158" t="s">
        <v>1797</v>
      </c>
      <c r="B158" t="s">
        <v>1798</v>
      </c>
      <c r="C158">
        <v>109</v>
      </c>
      <c r="D158" t="s">
        <v>15</v>
      </c>
      <c r="E158" s="1">
        <v>45226</v>
      </c>
      <c r="J158">
        <v>33</v>
      </c>
      <c r="K158">
        <v>33</v>
      </c>
    </row>
    <row r="159" spans="1:11" x14ac:dyDescent="0.3">
      <c r="A159" t="s">
        <v>1060</v>
      </c>
      <c r="B159" t="s">
        <v>1061</v>
      </c>
      <c r="C159">
        <v>101</v>
      </c>
      <c r="D159" t="s">
        <v>15</v>
      </c>
      <c r="E159" s="1">
        <v>44610</v>
      </c>
      <c r="J159">
        <v>61</v>
      </c>
      <c r="K159">
        <v>77</v>
      </c>
    </row>
    <row r="160" spans="1:11" x14ac:dyDescent="0.3">
      <c r="A160" t="s">
        <v>875</v>
      </c>
      <c r="B160" t="s">
        <v>876</v>
      </c>
      <c r="C160">
        <v>173</v>
      </c>
      <c r="D160" t="s">
        <v>18</v>
      </c>
      <c r="E160" s="1">
        <v>44948</v>
      </c>
      <c r="J160">
        <v>56</v>
      </c>
      <c r="K160">
        <v>83</v>
      </c>
    </row>
    <row r="161" spans="1:11" x14ac:dyDescent="0.3">
      <c r="A161" t="s">
        <v>1088</v>
      </c>
      <c r="B161" t="s">
        <v>1089</v>
      </c>
      <c r="C161">
        <v>109</v>
      </c>
      <c r="D161" t="s">
        <v>28</v>
      </c>
      <c r="E161" s="1">
        <v>45170</v>
      </c>
      <c r="J161">
        <v>58</v>
      </c>
      <c r="K161">
        <v>76</v>
      </c>
    </row>
    <row r="162" spans="1:11" x14ac:dyDescent="0.3">
      <c r="A162" t="s">
        <v>314</v>
      </c>
      <c r="B162" t="s">
        <v>315</v>
      </c>
      <c r="C162">
        <v>130</v>
      </c>
      <c r="D162" t="s">
        <v>15</v>
      </c>
      <c r="E162" s="1">
        <v>44862</v>
      </c>
      <c r="J162">
        <v>77</v>
      </c>
      <c r="K162">
        <v>96</v>
      </c>
    </row>
    <row r="163" spans="1:11" x14ac:dyDescent="0.3">
      <c r="A163" t="s">
        <v>472</v>
      </c>
      <c r="B163" t="s">
        <v>473</v>
      </c>
      <c r="C163">
        <v>111</v>
      </c>
      <c r="D163" t="s">
        <v>28</v>
      </c>
      <c r="E163" s="1">
        <v>45021</v>
      </c>
      <c r="J163">
        <v>73</v>
      </c>
      <c r="K163">
        <v>93</v>
      </c>
    </row>
    <row r="164" spans="1:11" x14ac:dyDescent="0.3">
      <c r="A164" t="s">
        <v>1710</v>
      </c>
      <c r="B164" t="s">
        <v>1711</v>
      </c>
      <c r="C164">
        <v>117</v>
      </c>
      <c r="D164" t="s">
        <v>12</v>
      </c>
      <c r="E164" s="1">
        <v>44883</v>
      </c>
      <c r="J164">
        <v>40</v>
      </c>
      <c r="K164">
        <v>40</v>
      </c>
    </row>
    <row r="165" spans="1:11" x14ac:dyDescent="0.3">
      <c r="A165" s="16" t="s">
        <v>966</v>
      </c>
      <c r="B165" s="16" t="s">
        <v>967</v>
      </c>
      <c r="C165" s="16">
        <v>110</v>
      </c>
      <c r="D165" s="16" t="s">
        <v>28</v>
      </c>
      <c r="E165" s="17">
        <v>45814</v>
      </c>
      <c r="F165" s="16">
        <v>7.7</v>
      </c>
      <c r="G165" s="16">
        <v>466</v>
      </c>
      <c r="J165">
        <v>64</v>
      </c>
      <c r="K165">
        <v>80</v>
      </c>
    </row>
    <row r="166" spans="1:11" x14ac:dyDescent="0.3">
      <c r="A166" t="s">
        <v>1260</v>
      </c>
      <c r="B166" t="s">
        <v>1261</v>
      </c>
      <c r="C166">
        <v>87</v>
      </c>
      <c r="D166" t="s">
        <v>12</v>
      </c>
      <c r="E166" s="1">
        <v>44743</v>
      </c>
      <c r="J166">
        <v>56</v>
      </c>
      <c r="K166">
        <v>69</v>
      </c>
    </row>
    <row r="167" spans="1:11" x14ac:dyDescent="0.3">
      <c r="A167" t="s">
        <v>280</v>
      </c>
      <c r="B167" t="s">
        <v>281</v>
      </c>
      <c r="C167">
        <v>105</v>
      </c>
      <c r="D167" t="s">
        <v>28</v>
      </c>
      <c r="E167" s="1">
        <v>45506</v>
      </c>
      <c r="F167">
        <v>7.6</v>
      </c>
      <c r="J167">
        <v>76</v>
      </c>
      <c r="K167">
        <v>96</v>
      </c>
    </row>
    <row r="168" spans="1:11" x14ac:dyDescent="0.3">
      <c r="A168" t="s">
        <v>462</v>
      </c>
      <c r="B168" t="s">
        <v>463</v>
      </c>
      <c r="C168">
        <v>117</v>
      </c>
      <c r="D168" t="s">
        <v>28</v>
      </c>
      <c r="E168" s="1">
        <v>45282</v>
      </c>
      <c r="F168">
        <v>7.5</v>
      </c>
      <c r="J168">
        <v>81</v>
      </c>
      <c r="K168">
        <v>93</v>
      </c>
    </row>
    <row r="169" spans="1:11" x14ac:dyDescent="0.3">
      <c r="A169" t="s">
        <v>268</v>
      </c>
      <c r="B169" t="s">
        <v>269</v>
      </c>
      <c r="C169">
        <v>116</v>
      </c>
      <c r="D169" t="s">
        <v>25</v>
      </c>
      <c r="E169" s="1">
        <v>44687</v>
      </c>
      <c r="F169">
        <v>7.5</v>
      </c>
      <c r="J169">
        <v>89</v>
      </c>
      <c r="K169">
        <v>97</v>
      </c>
    </row>
    <row r="170" spans="1:11" x14ac:dyDescent="0.3">
      <c r="A170" t="s">
        <v>1316</v>
      </c>
      <c r="B170" t="s">
        <v>1317</v>
      </c>
      <c r="C170">
        <v>113</v>
      </c>
      <c r="D170" t="s">
        <v>28</v>
      </c>
      <c r="E170" s="1">
        <v>45338</v>
      </c>
      <c r="J170">
        <v>57</v>
      </c>
      <c r="K170">
        <v>66</v>
      </c>
    </row>
    <row r="171" spans="1:11" x14ac:dyDescent="0.3">
      <c r="A171" t="s">
        <v>394</v>
      </c>
      <c r="B171" t="s">
        <v>395</v>
      </c>
      <c r="C171">
        <v>107</v>
      </c>
      <c r="D171" t="s">
        <v>15</v>
      </c>
      <c r="E171" s="1">
        <v>45373</v>
      </c>
      <c r="J171">
        <v>74</v>
      </c>
      <c r="K171">
        <v>94</v>
      </c>
    </row>
    <row r="172" spans="1:11" x14ac:dyDescent="0.3">
      <c r="A172" t="s">
        <v>856</v>
      </c>
      <c r="B172" t="s">
        <v>857</v>
      </c>
      <c r="C172">
        <v>93</v>
      </c>
      <c r="D172" t="s">
        <v>12</v>
      </c>
      <c r="E172" s="1">
        <v>45576</v>
      </c>
      <c r="J172">
        <v>63</v>
      </c>
      <c r="K172">
        <v>83</v>
      </c>
    </row>
    <row r="173" spans="1:11" x14ac:dyDescent="0.3">
      <c r="A173" t="s">
        <v>1216</v>
      </c>
      <c r="B173" t="s">
        <v>1217</v>
      </c>
      <c r="C173">
        <v>105</v>
      </c>
      <c r="D173" t="s">
        <v>28</v>
      </c>
      <c r="E173" s="1">
        <v>45303</v>
      </c>
      <c r="J173">
        <v>53</v>
      </c>
      <c r="K173">
        <v>71</v>
      </c>
    </row>
    <row r="174" spans="1:11" x14ac:dyDescent="0.3">
      <c r="A174" t="s">
        <v>1444</v>
      </c>
      <c r="B174" t="s">
        <v>1445</v>
      </c>
      <c r="C174">
        <v>123</v>
      </c>
      <c r="D174" t="s">
        <v>15</v>
      </c>
      <c r="E174" s="1">
        <v>45285</v>
      </c>
      <c r="J174">
        <v>54</v>
      </c>
      <c r="K174">
        <v>57</v>
      </c>
    </row>
    <row r="175" spans="1:11" x14ac:dyDescent="0.3">
      <c r="A175" t="s">
        <v>727</v>
      </c>
      <c r="B175" t="s">
        <v>728</v>
      </c>
      <c r="C175">
        <v>119</v>
      </c>
      <c r="D175" t="s">
        <v>28</v>
      </c>
      <c r="E175" s="1">
        <v>45649</v>
      </c>
      <c r="J175">
        <v>74</v>
      </c>
      <c r="K175">
        <v>86</v>
      </c>
    </row>
    <row r="176" spans="1:11" x14ac:dyDescent="0.3">
      <c r="A176" t="s">
        <v>482</v>
      </c>
      <c r="B176" t="s">
        <v>483</v>
      </c>
      <c r="C176">
        <v>103</v>
      </c>
      <c r="D176" t="s">
        <v>28</v>
      </c>
      <c r="E176" s="1">
        <v>44820</v>
      </c>
      <c r="J176">
        <v>76</v>
      </c>
      <c r="K176">
        <v>93</v>
      </c>
    </row>
    <row r="177" spans="1:11" x14ac:dyDescent="0.3">
      <c r="A177" t="s">
        <v>996</v>
      </c>
      <c r="B177" t="s">
        <v>997</v>
      </c>
      <c r="C177">
        <v>108</v>
      </c>
      <c r="D177" t="s">
        <v>28</v>
      </c>
      <c r="E177" s="1">
        <v>45583</v>
      </c>
      <c r="J177">
        <v>59</v>
      </c>
      <c r="K177">
        <v>79</v>
      </c>
    </row>
    <row r="178" spans="1:11" x14ac:dyDescent="0.3">
      <c r="A178" t="s">
        <v>1136</v>
      </c>
      <c r="B178" t="s">
        <v>1137</v>
      </c>
      <c r="C178">
        <v>112</v>
      </c>
      <c r="D178" t="s">
        <v>28</v>
      </c>
      <c r="E178" s="1">
        <v>44897</v>
      </c>
      <c r="J178">
        <v>55</v>
      </c>
      <c r="K178">
        <v>74</v>
      </c>
    </row>
    <row r="179" spans="1:11" x14ac:dyDescent="0.3">
      <c r="A179" t="s">
        <v>1851</v>
      </c>
      <c r="B179" t="s">
        <v>1852</v>
      </c>
      <c r="C179">
        <v>118</v>
      </c>
      <c r="D179" t="s">
        <v>15</v>
      </c>
      <c r="E179" s="1">
        <v>45275</v>
      </c>
      <c r="J179">
        <v>39</v>
      </c>
      <c r="K179">
        <v>29</v>
      </c>
    </row>
    <row r="180" spans="1:11" x14ac:dyDescent="0.3">
      <c r="A180" t="s">
        <v>1168</v>
      </c>
      <c r="B180" t="s">
        <v>1169</v>
      </c>
      <c r="C180">
        <v>126</v>
      </c>
      <c r="D180" t="s">
        <v>15</v>
      </c>
      <c r="E180" s="1">
        <v>44687</v>
      </c>
      <c r="J180">
        <v>60</v>
      </c>
      <c r="K180">
        <v>73</v>
      </c>
    </row>
    <row r="181" spans="1:11" x14ac:dyDescent="0.3">
      <c r="A181" t="s">
        <v>1040</v>
      </c>
      <c r="B181" t="s">
        <v>1041</v>
      </c>
      <c r="C181">
        <v>103</v>
      </c>
      <c r="D181" t="s">
        <v>15</v>
      </c>
      <c r="E181" s="1">
        <v>45575</v>
      </c>
      <c r="J181">
        <v>55</v>
      </c>
      <c r="K181">
        <v>77</v>
      </c>
    </row>
    <row r="182" spans="1:11" x14ac:dyDescent="0.3">
      <c r="A182" t="s">
        <v>358</v>
      </c>
      <c r="B182" t="s">
        <v>359</v>
      </c>
      <c r="C182">
        <v>98</v>
      </c>
      <c r="D182" t="s">
        <v>15</v>
      </c>
      <c r="E182" s="1">
        <v>45050</v>
      </c>
      <c r="J182">
        <v>82</v>
      </c>
      <c r="K182">
        <v>95</v>
      </c>
    </row>
    <row r="183" spans="1:11" x14ac:dyDescent="0.3">
      <c r="A183" t="s">
        <v>226</v>
      </c>
      <c r="B183" t="s">
        <v>227</v>
      </c>
      <c r="C183">
        <v>85</v>
      </c>
      <c r="D183" t="s">
        <v>12</v>
      </c>
      <c r="E183" s="1">
        <v>45583</v>
      </c>
      <c r="G183">
        <v>1100</v>
      </c>
      <c r="I183">
        <v>49</v>
      </c>
      <c r="J183">
        <v>68</v>
      </c>
      <c r="K183">
        <v>97</v>
      </c>
    </row>
    <row r="184" spans="1:11" x14ac:dyDescent="0.3">
      <c r="A184" t="s">
        <v>1086</v>
      </c>
      <c r="B184" t="s">
        <v>1087</v>
      </c>
      <c r="C184">
        <v>91</v>
      </c>
      <c r="D184" t="s">
        <v>15</v>
      </c>
      <c r="E184" s="1">
        <v>45184</v>
      </c>
      <c r="J184">
        <v>55</v>
      </c>
      <c r="K184">
        <v>76</v>
      </c>
    </row>
    <row r="185" spans="1:11" x14ac:dyDescent="0.3">
      <c r="A185" t="s">
        <v>70</v>
      </c>
      <c r="B185" t="s">
        <v>71</v>
      </c>
      <c r="C185">
        <v>117</v>
      </c>
      <c r="D185" t="s">
        <v>63</v>
      </c>
      <c r="E185" s="1">
        <v>45030</v>
      </c>
      <c r="J185">
        <v>48</v>
      </c>
      <c r="K185">
        <v>82</v>
      </c>
    </row>
    <row r="186" spans="1:11" x14ac:dyDescent="0.3">
      <c r="A186" t="s">
        <v>182</v>
      </c>
      <c r="B186" t="s">
        <v>183</v>
      </c>
      <c r="C186">
        <v>80</v>
      </c>
      <c r="D186" t="s">
        <v>18</v>
      </c>
      <c r="E186" s="1">
        <v>44909</v>
      </c>
      <c r="G186">
        <v>926</v>
      </c>
      <c r="I186">
        <v>43</v>
      </c>
      <c r="J186">
        <v>78</v>
      </c>
      <c r="K186">
        <v>100</v>
      </c>
    </row>
    <row r="187" spans="1:11" x14ac:dyDescent="0.3">
      <c r="A187" t="s">
        <v>1490</v>
      </c>
      <c r="B187" t="s">
        <v>1491</v>
      </c>
      <c r="C187">
        <v>104</v>
      </c>
      <c r="D187" t="s">
        <v>12</v>
      </c>
      <c r="E187" s="1">
        <v>45534</v>
      </c>
      <c r="G187">
        <v>1300</v>
      </c>
      <c r="I187">
        <v>43</v>
      </c>
      <c r="J187">
        <v>43</v>
      </c>
      <c r="K187">
        <v>55</v>
      </c>
    </row>
    <row r="188" spans="1:11" x14ac:dyDescent="0.3">
      <c r="A188" t="s">
        <v>1004</v>
      </c>
      <c r="B188" t="s">
        <v>1005</v>
      </c>
      <c r="C188">
        <v>115</v>
      </c>
      <c r="D188" t="s">
        <v>15</v>
      </c>
      <c r="E188" s="1">
        <v>45399</v>
      </c>
      <c r="I188">
        <v>50</v>
      </c>
      <c r="J188">
        <v>58</v>
      </c>
      <c r="K188">
        <v>79</v>
      </c>
    </row>
    <row r="189" spans="1:11" x14ac:dyDescent="0.3">
      <c r="A189" t="s">
        <v>574</v>
      </c>
      <c r="B189" t="s">
        <v>575</v>
      </c>
      <c r="C189">
        <v>98</v>
      </c>
      <c r="D189" t="s">
        <v>15</v>
      </c>
      <c r="E189" s="1">
        <v>44785</v>
      </c>
      <c r="J189">
        <v>77</v>
      </c>
      <c r="K189">
        <v>91</v>
      </c>
    </row>
    <row r="190" spans="1:11" x14ac:dyDescent="0.3">
      <c r="A190" t="s">
        <v>26</v>
      </c>
      <c r="B190" t="s">
        <v>27</v>
      </c>
      <c r="C190">
        <v>93</v>
      </c>
      <c r="D190" t="s">
        <v>28</v>
      </c>
      <c r="E190" s="1">
        <v>45520</v>
      </c>
      <c r="J190">
        <v>78</v>
      </c>
      <c r="K190">
        <v>96</v>
      </c>
    </row>
    <row r="191" spans="1:11" x14ac:dyDescent="0.3">
      <c r="A191" t="s">
        <v>505</v>
      </c>
      <c r="B191" t="s">
        <v>506</v>
      </c>
      <c r="C191">
        <v>144</v>
      </c>
      <c r="D191" t="s">
        <v>63</v>
      </c>
      <c r="E191" s="1">
        <v>45582</v>
      </c>
      <c r="J191">
        <v>73</v>
      </c>
      <c r="K191">
        <v>92</v>
      </c>
    </row>
    <row r="192" spans="1:11" x14ac:dyDescent="0.3">
      <c r="A192" t="s">
        <v>751</v>
      </c>
      <c r="B192" t="s">
        <v>752</v>
      </c>
      <c r="C192">
        <v>87</v>
      </c>
      <c r="D192" t="s">
        <v>15</v>
      </c>
      <c r="E192" s="1">
        <v>45149</v>
      </c>
      <c r="J192">
        <v>57</v>
      </c>
      <c r="K192">
        <v>86</v>
      </c>
    </row>
    <row r="193" spans="1:11" x14ac:dyDescent="0.3">
      <c r="A193" t="s">
        <v>428</v>
      </c>
      <c r="B193" t="s">
        <v>429</v>
      </c>
      <c r="C193">
        <v>129</v>
      </c>
      <c r="D193" t="s">
        <v>28</v>
      </c>
      <c r="E193" s="1">
        <v>44720</v>
      </c>
      <c r="J193">
        <v>77</v>
      </c>
      <c r="K193">
        <v>94</v>
      </c>
    </row>
    <row r="194" spans="1:11" x14ac:dyDescent="0.3">
      <c r="A194" t="s">
        <v>1342</v>
      </c>
      <c r="B194" t="s">
        <v>1343</v>
      </c>
      <c r="C194">
        <v>91</v>
      </c>
      <c r="D194" t="s">
        <v>12</v>
      </c>
      <c r="E194" s="1">
        <v>45247</v>
      </c>
      <c r="J194">
        <v>53</v>
      </c>
      <c r="K194">
        <v>64</v>
      </c>
    </row>
    <row r="195" spans="1:11" x14ac:dyDescent="0.3">
      <c r="A195" t="s">
        <v>262</v>
      </c>
      <c r="B195" t="s">
        <v>263</v>
      </c>
      <c r="C195">
        <v>115</v>
      </c>
      <c r="D195" t="s">
        <v>15</v>
      </c>
      <c r="E195" s="1">
        <v>44869</v>
      </c>
      <c r="J195">
        <v>69</v>
      </c>
      <c r="K195">
        <v>97</v>
      </c>
    </row>
    <row r="196" spans="1:11" x14ac:dyDescent="0.3">
      <c r="A196" t="s">
        <v>350</v>
      </c>
      <c r="B196" t="s">
        <v>351</v>
      </c>
      <c r="C196">
        <v>99</v>
      </c>
      <c r="D196" t="s">
        <v>12</v>
      </c>
      <c r="E196" s="1">
        <v>45140</v>
      </c>
      <c r="J196">
        <v>74</v>
      </c>
      <c r="K196">
        <v>95</v>
      </c>
    </row>
    <row r="197" spans="1:11" x14ac:dyDescent="0.3">
      <c r="A197" t="s">
        <v>1200</v>
      </c>
      <c r="B197" t="s">
        <v>1201</v>
      </c>
      <c r="C197">
        <v>105</v>
      </c>
      <c r="D197" t="s">
        <v>12</v>
      </c>
      <c r="E197" s="1">
        <v>44771</v>
      </c>
      <c r="J197">
        <v>56</v>
      </c>
      <c r="K197">
        <v>72</v>
      </c>
    </row>
    <row r="198" spans="1:11" x14ac:dyDescent="0.3">
      <c r="A198" t="s">
        <v>954</v>
      </c>
      <c r="B198" t="s">
        <v>955</v>
      </c>
      <c r="C198">
        <v>118</v>
      </c>
      <c r="D198" t="s">
        <v>28</v>
      </c>
      <c r="E198" s="1">
        <v>45198</v>
      </c>
      <c r="J198">
        <v>60</v>
      </c>
      <c r="K198">
        <v>81</v>
      </c>
    </row>
    <row r="199" spans="1:11" x14ac:dyDescent="0.3">
      <c r="A199" t="s">
        <v>452</v>
      </c>
      <c r="B199" t="s">
        <v>453</v>
      </c>
      <c r="C199">
        <v>120</v>
      </c>
      <c r="D199" t="s">
        <v>12</v>
      </c>
      <c r="E199" s="1">
        <v>45590</v>
      </c>
      <c r="J199">
        <v>79</v>
      </c>
      <c r="K199">
        <v>93</v>
      </c>
    </row>
    <row r="200" spans="1:11" x14ac:dyDescent="0.3">
      <c r="A200" t="s">
        <v>978</v>
      </c>
      <c r="B200" t="s">
        <v>979</v>
      </c>
      <c r="C200">
        <v>119</v>
      </c>
      <c r="D200" t="s">
        <v>28</v>
      </c>
      <c r="E200" s="1">
        <v>45520</v>
      </c>
      <c r="J200">
        <v>64</v>
      </c>
      <c r="K200">
        <v>80</v>
      </c>
    </row>
    <row r="201" spans="1:11" x14ac:dyDescent="0.3">
      <c r="A201" t="s">
        <v>717</v>
      </c>
      <c r="B201" t="s">
        <v>718</v>
      </c>
      <c r="C201">
        <v>124</v>
      </c>
      <c r="D201" t="s">
        <v>12</v>
      </c>
      <c r="E201" s="1">
        <v>44701</v>
      </c>
      <c r="J201">
        <v>63</v>
      </c>
      <c r="K201">
        <v>87</v>
      </c>
    </row>
    <row r="202" spans="1:11" x14ac:dyDescent="0.3">
      <c r="A202" t="s">
        <v>1118</v>
      </c>
      <c r="B202" t="s">
        <v>1119</v>
      </c>
      <c r="C202">
        <v>130</v>
      </c>
      <c r="D202" t="s">
        <v>12</v>
      </c>
      <c r="E202" s="1">
        <v>45238</v>
      </c>
      <c r="J202">
        <v>35</v>
      </c>
      <c r="K202">
        <v>75</v>
      </c>
    </row>
    <row r="203" spans="1:11" x14ac:dyDescent="0.3">
      <c r="A203" t="s">
        <v>681</v>
      </c>
      <c r="B203" t="s">
        <v>682</v>
      </c>
      <c r="C203">
        <v>129</v>
      </c>
      <c r="D203" t="s">
        <v>28</v>
      </c>
      <c r="E203" s="1">
        <v>44883</v>
      </c>
      <c r="J203">
        <v>74</v>
      </c>
      <c r="K203">
        <v>88</v>
      </c>
    </row>
    <row r="204" spans="1:11" x14ac:dyDescent="0.3">
      <c r="A204" t="s">
        <v>362</v>
      </c>
      <c r="B204" t="s">
        <v>363</v>
      </c>
      <c r="C204">
        <v>113</v>
      </c>
      <c r="D204" t="s">
        <v>25</v>
      </c>
      <c r="E204" s="1">
        <v>44985</v>
      </c>
      <c r="F204">
        <v>7.5</v>
      </c>
      <c r="J204">
        <v>91</v>
      </c>
      <c r="K204">
        <v>95</v>
      </c>
    </row>
    <row r="205" spans="1:11" x14ac:dyDescent="0.3">
      <c r="A205" t="s">
        <v>1082</v>
      </c>
      <c r="B205" t="s">
        <v>1083</v>
      </c>
      <c r="C205">
        <v>104</v>
      </c>
      <c r="D205" t="s">
        <v>28</v>
      </c>
      <c r="E205" s="1">
        <v>45331</v>
      </c>
      <c r="J205">
        <v>59</v>
      </c>
      <c r="K205">
        <v>76</v>
      </c>
    </row>
    <row r="206" spans="1:11" x14ac:dyDescent="0.3">
      <c r="A206" t="s">
        <v>1540</v>
      </c>
      <c r="B206" t="s">
        <v>1541</v>
      </c>
      <c r="C206">
        <v>127</v>
      </c>
      <c r="D206" t="s">
        <v>15</v>
      </c>
      <c r="E206" s="1">
        <v>45086</v>
      </c>
      <c r="J206">
        <v>42</v>
      </c>
      <c r="K206">
        <v>51</v>
      </c>
    </row>
    <row r="207" spans="1:11" x14ac:dyDescent="0.3">
      <c r="A207" t="s">
        <v>683</v>
      </c>
      <c r="B207" t="s">
        <v>684</v>
      </c>
      <c r="C207">
        <v>107</v>
      </c>
      <c r="D207" t="s">
        <v>28</v>
      </c>
      <c r="E207" s="1">
        <v>44883</v>
      </c>
      <c r="J207">
        <v>71</v>
      </c>
      <c r="K207">
        <v>88</v>
      </c>
    </row>
    <row r="208" spans="1:11" x14ac:dyDescent="0.3">
      <c r="A208" t="s">
        <v>112</v>
      </c>
      <c r="B208" t="s">
        <v>113</v>
      </c>
      <c r="C208">
        <v>93</v>
      </c>
      <c r="D208" t="s">
        <v>28</v>
      </c>
      <c r="E208" s="1">
        <v>45156</v>
      </c>
      <c r="J208">
        <v>54</v>
      </c>
      <c r="K208">
        <v>54</v>
      </c>
    </row>
    <row r="209" spans="1:11" x14ac:dyDescent="0.3">
      <c r="A209" t="s">
        <v>1328</v>
      </c>
      <c r="B209" t="s">
        <v>1329</v>
      </c>
      <c r="C209">
        <v>91</v>
      </c>
      <c r="D209" t="s">
        <v>12</v>
      </c>
      <c r="E209" s="1">
        <v>45107</v>
      </c>
      <c r="J209">
        <v>50</v>
      </c>
      <c r="K209">
        <v>65</v>
      </c>
    </row>
    <row r="210" spans="1:11" x14ac:dyDescent="0.3">
      <c r="A210" t="s">
        <v>194</v>
      </c>
      <c r="B210" t="s">
        <v>195</v>
      </c>
      <c r="C210">
        <v>106</v>
      </c>
      <c r="D210" t="s">
        <v>15</v>
      </c>
      <c r="E210" s="1">
        <v>45044</v>
      </c>
      <c r="J210">
        <v>84</v>
      </c>
      <c r="K210">
        <v>99</v>
      </c>
    </row>
    <row r="211" spans="1:11" x14ac:dyDescent="0.3">
      <c r="A211" t="s">
        <v>1332</v>
      </c>
      <c r="B211" t="s">
        <v>1333</v>
      </c>
      <c r="C211">
        <v>103</v>
      </c>
      <c r="D211" t="s">
        <v>12</v>
      </c>
      <c r="E211" s="1">
        <v>44834</v>
      </c>
      <c r="J211">
        <v>56</v>
      </c>
      <c r="K211">
        <v>65</v>
      </c>
    </row>
    <row r="212" spans="1:11" x14ac:dyDescent="0.3">
      <c r="A212" t="s">
        <v>298</v>
      </c>
      <c r="B212" t="s">
        <v>299</v>
      </c>
      <c r="C212">
        <v>99</v>
      </c>
      <c r="D212" t="s">
        <v>18</v>
      </c>
      <c r="E212" s="1">
        <v>45226</v>
      </c>
      <c r="J212">
        <v>75</v>
      </c>
      <c r="K212">
        <v>96</v>
      </c>
    </row>
    <row r="213" spans="1:11" x14ac:dyDescent="0.3">
      <c r="A213" t="s">
        <v>1684</v>
      </c>
      <c r="B213" t="s">
        <v>1685</v>
      </c>
      <c r="C213">
        <v>124</v>
      </c>
      <c r="D213" t="s">
        <v>15</v>
      </c>
      <c r="E213" s="1">
        <v>44666</v>
      </c>
      <c r="J213">
        <v>40</v>
      </c>
      <c r="K213">
        <v>42</v>
      </c>
    </row>
    <row r="214" spans="1:11" x14ac:dyDescent="0.3">
      <c r="A214" t="s">
        <v>244</v>
      </c>
      <c r="B214" t="s">
        <v>245</v>
      </c>
      <c r="C214">
        <v>120</v>
      </c>
      <c r="D214" t="s">
        <v>28</v>
      </c>
      <c r="E214" s="1">
        <v>45243</v>
      </c>
      <c r="J214">
        <v>78</v>
      </c>
      <c r="K214">
        <v>97</v>
      </c>
    </row>
    <row r="215" spans="1:11" x14ac:dyDescent="0.3">
      <c r="A215" t="s">
        <v>900</v>
      </c>
      <c r="B215" t="s">
        <v>901</v>
      </c>
      <c r="C215">
        <v>112</v>
      </c>
      <c r="D215" t="s">
        <v>12</v>
      </c>
      <c r="E215" s="1">
        <v>45394</v>
      </c>
      <c r="J215">
        <v>65</v>
      </c>
      <c r="K215">
        <v>82</v>
      </c>
    </row>
    <row r="216" spans="1:11" x14ac:dyDescent="0.3">
      <c r="A216" t="s">
        <v>816</v>
      </c>
      <c r="B216" t="s">
        <v>817</v>
      </c>
      <c r="C216">
        <v>107</v>
      </c>
      <c r="D216" t="s">
        <v>28</v>
      </c>
      <c r="E216" s="1">
        <v>44729</v>
      </c>
      <c r="J216">
        <v>69</v>
      </c>
      <c r="K216">
        <v>85</v>
      </c>
    </row>
    <row r="217" spans="1:11" x14ac:dyDescent="0.3">
      <c r="A217" t="s">
        <v>858</v>
      </c>
      <c r="B217" t="s">
        <v>859</v>
      </c>
      <c r="C217">
        <v>110</v>
      </c>
      <c r="D217" t="s">
        <v>28</v>
      </c>
      <c r="E217" s="1">
        <v>45548</v>
      </c>
      <c r="J217">
        <v>66</v>
      </c>
      <c r="K217">
        <v>83</v>
      </c>
    </row>
    <row r="218" spans="1:11" x14ac:dyDescent="0.3">
      <c r="A218" t="s">
        <v>33</v>
      </c>
      <c r="B218" t="s">
        <v>34</v>
      </c>
      <c r="C218">
        <v>95</v>
      </c>
      <c r="D218" t="s">
        <v>28</v>
      </c>
      <c r="E218" s="1">
        <v>45135</v>
      </c>
      <c r="J218">
        <v>76</v>
      </c>
      <c r="K218">
        <v>94</v>
      </c>
    </row>
    <row r="219" spans="1:11" x14ac:dyDescent="0.3">
      <c r="A219" t="s">
        <v>624</v>
      </c>
      <c r="B219" t="s">
        <v>625</v>
      </c>
      <c r="C219">
        <v>141</v>
      </c>
      <c r="D219" t="s">
        <v>28</v>
      </c>
      <c r="E219" s="1">
        <v>45555</v>
      </c>
      <c r="J219">
        <v>78</v>
      </c>
      <c r="K219">
        <v>89</v>
      </c>
    </row>
    <row r="220" spans="1:11" x14ac:dyDescent="0.3">
      <c r="A220" t="s">
        <v>252</v>
      </c>
      <c r="B220" t="s">
        <v>253</v>
      </c>
      <c r="C220">
        <v>81</v>
      </c>
      <c r="D220" t="s">
        <v>25</v>
      </c>
      <c r="E220" s="1">
        <v>45183</v>
      </c>
      <c r="J220">
        <v>86</v>
      </c>
      <c r="K220">
        <v>97</v>
      </c>
    </row>
    <row r="221" spans="1:11" x14ac:dyDescent="0.3">
      <c r="A221" t="s">
        <v>390</v>
      </c>
      <c r="B221" t="s">
        <v>391</v>
      </c>
      <c r="C221">
        <v>110</v>
      </c>
      <c r="D221" t="s">
        <v>15</v>
      </c>
      <c r="E221" s="1">
        <v>45401</v>
      </c>
      <c r="J221">
        <v>68</v>
      </c>
      <c r="K221">
        <v>94</v>
      </c>
    </row>
    <row r="222" spans="1:11" x14ac:dyDescent="0.3">
      <c r="A222" t="s">
        <v>238</v>
      </c>
      <c r="B222" t="s">
        <v>239</v>
      </c>
      <c r="C222">
        <v>93</v>
      </c>
      <c r="D222" t="s">
        <v>28</v>
      </c>
      <c r="E222" s="1">
        <v>45373</v>
      </c>
      <c r="J222">
        <v>72</v>
      </c>
      <c r="K222">
        <v>97</v>
      </c>
    </row>
    <row r="223" spans="1:11" x14ac:dyDescent="0.3">
      <c r="A223" t="s">
        <v>1010</v>
      </c>
      <c r="B223" t="s">
        <v>1011</v>
      </c>
      <c r="C223">
        <v>107</v>
      </c>
      <c r="D223" t="s">
        <v>15</v>
      </c>
      <c r="E223" s="1">
        <v>44785</v>
      </c>
      <c r="J223">
        <v>62</v>
      </c>
      <c r="K223">
        <v>79</v>
      </c>
    </row>
    <row r="224" spans="1:11" x14ac:dyDescent="0.3">
      <c r="A224" t="s">
        <v>43</v>
      </c>
      <c r="B224" t="s">
        <v>44</v>
      </c>
      <c r="C224">
        <v>158</v>
      </c>
      <c r="D224" t="s">
        <v>28</v>
      </c>
      <c r="E224" s="1">
        <v>44862</v>
      </c>
      <c r="J224">
        <v>93</v>
      </c>
      <c r="K224">
        <v>91</v>
      </c>
    </row>
    <row r="225" spans="1:11" x14ac:dyDescent="0.3">
      <c r="A225" s="16" t="s">
        <v>19</v>
      </c>
      <c r="B225" s="16" t="s">
        <v>20</v>
      </c>
      <c r="C225" s="16">
        <v>99</v>
      </c>
      <c r="D225" s="16" t="s">
        <v>12</v>
      </c>
      <c r="E225" s="17">
        <v>44723</v>
      </c>
      <c r="F225" s="16">
        <v>8.1999999999999993</v>
      </c>
      <c r="G225" s="16">
        <v>1600</v>
      </c>
      <c r="I225">
        <v>12</v>
      </c>
      <c r="J225">
        <v>79</v>
      </c>
      <c r="K225">
        <v>98</v>
      </c>
    </row>
    <row r="226" spans="1:11" x14ac:dyDescent="0.3">
      <c r="A226" t="s">
        <v>1585</v>
      </c>
      <c r="B226" t="s">
        <v>1586</v>
      </c>
      <c r="C226">
        <v>108</v>
      </c>
      <c r="D226" t="s">
        <v>15</v>
      </c>
      <c r="E226" s="1">
        <v>45226</v>
      </c>
      <c r="I226">
        <v>52</v>
      </c>
      <c r="J226">
        <v>28</v>
      </c>
      <c r="K226">
        <v>47</v>
      </c>
    </row>
    <row r="227" spans="1:11" x14ac:dyDescent="0.3">
      <c r="A227" t="s">
        <v>188</v>
      </c>
      <c r="B227" t="s">
        <v>189</v>
      </c>
      <c r="C227">
        <v>115</v>
      </c>
      <c r="D227" t="s">
        <v>28</v>
      </c>
      <c r="E227" s="1">
        <v>45457</v>
      </c>
      <c r="F227">
        <v>7.6</v>
      </c>
      <c r="J227">
        <v>83</v>
      </c>
      <c r="K227">
        <v>99</v>
      </c>
    </row>
    <row r="228" spans="1:11" x14ac:dyDescent="0.3">
      <c r="A228" t="s">
        <v>791</v>
      </c>
      <c r="B228" t="s">
        <v>792</v>
      </c>
      <c r="C228">
        <v>103</v>
      </c>
      <c r="D228" t="s">
        <v>28</v>
      </c>
      <c r="E228" s="1">
        <v>45296</v>
      </c>
      <c r="J228">
        <v>71</v>
      </c>
      <c r="K228">
        <v>85</v>
      </c>
    </row>
    <row r="229" spans="1:11" x14ac:dyDescent="0.3">
      <c r="A229" t="s">
        <v>902</v>
      </c>
      <c r="B229" t="s">
        <v>903</v>
      </c>
      <c r="C229">
        <v>112</v>
      </c>
      <c r="D229" t="s">
        <v>28</v>
      </c>
      <c r="E229" s="1">
        <v>45384</v>
      </c>
      <c r="J229">
        <v>64</v>
      </c>
      <c r="K229">
        <v>82</v>
      </c>
    </row>
    <row r="230" spans="1:11" x14ac:dyDescent="0.3">
      <c r="A230" t="s">
        <v>240</v>
      </c>
      <c r="B230" t="s">
        <v>241</v>
      </c>
      <c r="C230">
        <v>135</v>
      </c>
      <c r="D230" t="s">
        <v>15</v>
      </c>
      <c r="E230" s="1">
        <v>45331</v>
      </c>
      <c r="J230">
        <v>85</v>
      </c>
      <c r="K230">
        <v>97</v>
      </c>
    </row>
    <row r="231" spans="1:11" x14ac:dyDescent="0.3">
      <c r="A231" t="s">
        <v>288</v>
      </c>
      <c r="B231" t="s">
        <v>289</v>
      </c>
      <c r="C231">
        <v>118</v>
      </c>
      <c r="D231" t="s">
        <v>18</v>
      </c>
      <c r="E231" s="1">
        <v>45308</v>
      </c>
      <c r="J231">
        <v>80</v>
      </c>
      <c r="K231">
        <v>96</v>
      </c>
    </row>
    <row r="232" spans="1:11" x14ac:dyDescent="0.3">
      <c r="A232" t="s">
        <v>960</v>
      </c>
      <c r="B232" t="s">
        <v>961</v>
      </c>
      <c r="C232">
        <v>139</v>
      </c>
      <c r="D232" t="s">
        <v>15</v>
      </c>
      <c r="E232" s="1">
        <v>44888</v>
      </c>
      <c r="J232">
        <v>66</v>
      </c>
      <c r="K232">
        <v>81</v>
      </c>
    </row>
    <row r="233" spans="1:11" x14ac:dyDescent="0.3">
      <c r="A233" t="s">
        <v>448</v>
      </c>
      <c r="B233" t="s">
        <v>449</v>
      </c>
      <c r="C233">
        <v>139</v>
      </c>
      <c r="D233" t="s">
        <v>28</v>
      </c>
      <c r="E233" s="1">
        <v>45604</v>
      </c>
      <c r="F233">
        <v>7.6</v>
      </c>
      <c r="J233">
        <v>91</v>
      </c>
      <c r="K233">
        <v>93</v>
      </c>
    </row>
    <row r="234" spans="1:11" x14ac:dyDescent="0.3">
      <c r="A234" t="s">
        <v>980</v>
      </c>
      <c r="B234" t="s">
        <v>981</v>
      </c>
      <c r="C234">
        <v>145</v>
      </c>
      <c r="D234" t="s">
        <v>15</v>
      </c>
      <c r="E234" s="1">
        <v>45422</v>
      </c>
      <c r="J234">
        <v>66</v>
      </c>
      <c r="K234">
        <v>80</v>
      </c>
    </row>
    <row r="235" spans="1:11" x14ac:dyDescent="0.3">
      <c r="A235" t="s">
        <v>266</v>
      </c>
      <c r="B235" t="s">
        <v>267</v>
      </c>
      <c r="C235">
        <v>73</v>
      </c>
      <c r="D235" t="s">
        <v>12</v>
      </c>
      <c r="E235" s="1">
        <v>44687</v>
      </c>
      <c r="J235">
        <v>93</v>
      </c>
      <c r="K235">
        <v>97</v>
      </c>
    </row>
    <row r="236" spans="1:11" x14ac:dyDescent="0.3">
      <c r="A236" t="s">
        <v>586</v>
      </c>
      <c r="B236" t="s">
        <v>587</v>
      </c>
      <c r="C236">
        <v>105</v>
      </c>
      <c r="D236" t="s">
        <v>28</v>
      </c>
      <c r="E236" s="1">
        <v>45477</v>
      </c>
      <c r="F236">
        <v>7.5</v>
      </c>
      <c r="J236">
        <v>74</v>
      </c>
      <c r="K236">
        <v>90</v>
      </c>
    </row>
    <row r="237" spans="1:11" x14ac:dyDescent="0.3">
      <c r="A237" t="s">
        <v>1446</v>
      </c>
      <c r="B237" t="s">
        <v>1447</v>
      </c>
      <c r="C237">
        <v>98</v>
      </c>
      <c r="D237" t="s">
        <v>28</v>
      </c>
      <c r="E237" s="1">
        <v>45017</v>
      </c>
      <c r="J237">
        <v>41</v>
      </c>
      <c r="K237">
        <v>57</v>
      </c>
    </row>
    <row r="238" spans="1:11" x14ac:dyDescent="0.3">
      <c r="A238" t="s">
        <v>771</v>
      </c>
      <c r="B238" t="s">
        <v>772</v>
      </c>
      <c r="C238">
        <v>105</v>
      </c>
      <c r="D238" t="s">
        <v>28</v>
      </c>
      <c r="E238" s="1">
        <v>44638</v>
      </c>
      <c r="J238">
        <v>69</v>
      </c>
      <c r="K238">
        <v>86</v>
      </c>
    </row>
    <row r="239" spans="1:11" x14ac:dyDescent="0.3">
      <c r="A239" t="s">
        <v>888</v>
      </c>
      <c r="B239" t="s">
        <v>889</v>
      </c>
      <c r="C239">
        <v>141</v>
      </c>
      <c r="D239" t="s">
        <v>28</v>
      </c>
      <c r="E239" s="1">
        <v>45651</v>
      </c>
      <c r="J239">
        <v>70</v>
      </c>
      <c r="K239">
        <v>82</v>
      </c>
    </row>
    <row r="240" spans="1:11" x14ac:dyDescent="0.3">
      <c r="A240" t="s">
        <v>745</v>
      </c>
      <c r="B240" t="s">
        <v>746</v>
      </c>
      <c r="C240">
        <v>121</v>
      </c>
      <c r="D240" t="s">
        <v>15</v>
      </c>
      <c r="E240" s="1">
        <v>45233</v>
      </c>
      <c r="J240">
        <v>63</v>
      </c>
      <c r="K240">
        <v>86</v>
      </c>
    </row>
    <row r="241" spans="1:11" x14ac:dyDescent="0.3">
      <c r="A241" t="s">
        <v>39</v>
      </c>
      <c r="B241" t="s">
        <v>40</v>
      </c>
      <c r="C241">
        <v>126</v>
      </c>
      <c r="D241" t="s">
        <v>28</v>
      </c>
      <c r="E241" s="1">
        <v>45212</v>
      </c>
      <c r="J241">
        <v>74</v>
      </c>
      <c r="K241">
        <v>92</v>
      </c>
    </row>
    <row r="242" spans="1:11" x14ac:dyDescent="0.3">
      <c r="A242" t="s">
        <v>641</v>
      </c>
      <c r="B242" t="s">
        <v>642</v>
      </c>
      <c r="C242">
        <v>116</v>
      </c>
      <c r="D242" t="s">
        <v>15</v>
      </c>
      <c r="E242" s="1">
        <v>44988</v>
      </c>
      <c r="J242">
        <v>73</v>
      </c>
      <c r="K242">
        <v>89</v>
      </c>
    </row>
    <row r="243" spans="1:11" x14ac:dyDescent="0.3">
      <c r="A243" t="s">
        <v>456</v>
      </c>
      <c r="B243" t="s">
        <v>457</v>
      </c>
      <c r="C243">
        <v>119</v>
      </c>
      <c r="D243" t="s">
        <v>18</v>
      </c>
      <c r="E243" s="1">
        <v>45554</v>
      </c>
      <c r="J243">
        <v>85</v>
      </c>
      <c r="K243">
        <v>93</v>
      </c>
    </row>
    <row r="244" spans="1:11" x14ac:dyDescent="0.3">
      <c r="A244" t="s">
        <v>1448</v>
      </c>
      <c r="B244" t="s">
        <v>1449</v>
      </c>
      <c r="C244">
        <v>128</v>
      </c>
      <c r="D244" t="s">
        <v>28</v>
      </c>
      <c r="E244" s="1">
        <v>45009</v>
      </c>
      <c r="J244">
        <v>50</v>
      </c>
      <c r="K244">
        <v>57</v>
      </c>
    </row>
    <row r="245" spans="1:11" x14ac:dyDescent="0.3">
      <c r="A245" t="s">
        <v>166</v>
      </c>
      <c r="B245" t="s">
        <v>167</v>
      </c>
      <c r="C245">
        <v>128</v>
      </c>
      <c r="D245" t="s">
        <v>28</v>
      </c>
      <c r="E245" s="1">
        <v>45490</v>
      </c>
      <c r="G245">
        <v>1500</v>
      </c>
      <c r="J245">
        <v>75</v>
      </c>
      <c r="K245">
        <v>100</v>
      </c>
    </row>
    <row r="246" spans="1:11" x14ac:dyDescent="0.3">
      <c r="A246" t="s">
        <v>1506</v>
      </c>
      <c r="B246" t="s">
        <v>1507</v>
      </c>
      <c r="C246">
        <v>115</v>
      </c>
      <c r="D246" t="s">
        <v>15</v>
      </c>
      <c r="E246" s="1">
        <v>45380</v>
      </c>
      <c r="J246">
        <v>47</v>
      </c>
      <c r="K246">
        <v>54</v>
      </c>
    </row>
    <row r="247" spans="1:11" x14ac:dyDescent="0.3">
      <c r="A247" t="s">
        <v>1811</v>
      </c>
      <c r="B247" t="s">
        <v>1812</v>
      </c>
      <c r="C247">
        <v>90</v>
      </c>
      <c r="D247" t="s">
        <v>28</v>
      </c>
      <c r="E247" s="1">
        <v>44826</v>
      </c>
      <c r="J247">
        <v>38</v>
      </c>
      <c r="K247">
        <v>32</v>
      </c>
    </row>
    <row r="248" spans="1:11" x14ac:dyDescent="0.3">
      <c r="A248" t="s">
        <v>908</v>
      </c>
      <c r="B248" t="s">
        <v>909</v>
      </c>
      <c r="C248">
        <v>116</v>
      </c>
      <c r="D248" t="s">
        <v>12</v>
      </c>
      <c r="E248" s="1">
        <v>45275</v>
      </c>
      <c r="J248">
        <v>66</v>
      </c>
      <c r="K248">
        <v>82</v>
      </c>
    </row>
    <row r="249" spans="1:11" x14ac:dyDescent="0.3">
      <c r="A249" t="s">
        <v>1744</v>
      </c>
      <c r="B249" t="s">
        <v>1745</v>
      </c>
      <c r="C249">
        <v>147</v>
      </c>
      <c r="D249" t="s">
        <v>15</v>
      </c>
      <c r="E249" s="1">
        <v>44853</v>
      </c>
      <c r="J249">
        <v>30</v>
      </c>
      <c r="K249">
        <v>38</v>
      </c>
    </row>
    <row r="250" spans="1:11" x14ac:dyDescent="0.3">
      <c r="A250" t="s">
        <v>612</v>
      </c>
      <c r="B250" t="s">
        <v>613</v>
      </c>
      <c r="C250">
        <v>137</v>
      </c>
      <c r="D250" t="s">
        <v>28</v>
      </c>
      <c r="E250" s="1">
        <v>44673</v>
      </c>
      <c r="J250">
        <v>82</v>
      </c>
      <c r="K250">
        <v>90</v>
      </c>
    </row>
    <row r="251" spans="1:11" x14ac:dyDescent="0.3">
      <c r="A251" t="s">
        <v>564</v>
      </c>
      <c r="B251" t="s">
        <v>565</v>
      </c>
      <c r="C251">
        <v>139</v>
      </c>
      <c r="D251" t="s">
        <v>15</v>
      </c>
      <c r="E251" s="1">
        <v>44918</v>
      </c>
      <c r="J251">
        <v>81</v>
      </c>
      <c r="K251">
        <v>91</v>
      </c>
    </row>
    <row r="252" spans="1:11" x14ac:dyDescent="0.3">
      <c r="A252" t="s">
        <v>474</v>
      </c>
      <c r="B252" t="s">
        <v>475</v>
      </c>
      <c r="C252">
        <v>102</v>
      </c>
      <c r="D252" t="s">
        <v>15</v>
      </c>
      <c r="E252" s="1">
        <v>44932</v>
      </c>
      <c r="J252">
        <v>72</v>
      </c>
      <c r="K252">
        <v>93</v>
      </c>
    </row>
    <row r="253" spans="1:11" x14ac:dyDescent="0.3">
      <c r="A253" t="s">
        <v>1266</v>
      </c>
      <c r="B253" t="s">
        <v>1267</v>
      </c>
      <c r="C253">
        <v>117</v>
      </c>
      <c r="D253" t="s">
        <v>28</v>
      </c>
      <c r="E253" s="1">
        <v>45548</v>
      </c>
      <c r="J253">
        <v>62</v>
      </c>
      <c r="K253">
        <v>68</v>
      </c>
    </row>
    <row r="254" spans="1:11" x14ac:dyDescent="0.3">
      <c r="A254" t="s">
        <v>478</v>
      </c>
      <c r="B254" t="s">
        <v>479</v>
      </c>
      <c r="C254">
        <v>119</v>
      </c>
      <c r="D254" t="s">
        <v>28</v>
      </c>
      <c r="E254" s="1">
        <v>44841</v>
      </c>
      <c r="J254">
        <v>84</v>
      </c>
      <c r="K254">
        <v>93</v>
      </c>
    </row>
    <row r="255" spans="1:11" x14ac:dyDescent="0.3">
      <c r="A255" t="s">
        <v>1270</v>
      </c>
      <c r="B255" t="s">
        <v>1271</v>
      </c>
      <c r="C255">
        <v>122</v>
      </c>
      <c r="D255" t="s">
        <v>28</v>
      </c>
      <c r="E255" s="1">
        <v>45401</v>
      </c>
      <c r="J255">
        <v>55</v>
      </c>
      <c r="K255">
        <v>68</v>
      </c>
    </row>
    <row r="256" spans="1:11" x14ac:dyDescent="0.3">
      <c r="A256" t="s">
        <v>502</v>
      </c>
      <c r="B256" s="2">
        <v>46270</v>
      </c>
      <c r="C256">
        <v>95</v>
      </c>
      <c r="D256" t="s">
        <v>28</v>
      </c>
      <c r="E256" s="1">
        <v>45674</v>
      </c>
      <c r="J256">
        <v>76</v>
      </c>
      <c r="K256">
        <v>92</v>
      </c>
    </row>
    <row r="257" spans="1:11" x14ac:dyDescent="0.3">
      <c r="A257" t="s">
        <v>1663</v>
      </c>
      <c r="B257" t="s">
        <v>1664</v>
      </c>
      <c r="C257">
        <v>144</v>
      </c>
      <c r="D257" t="s">
        <v>15</v>
      </c>
      <c r="E257" s="1">
        <v>44918</v>
      </c>
      <c r="J257">
        <v>51</v>
      </c>
      <c r="K257">
        <v>43</v>
      </c>
    </row>
    <row r="258" spans="1:11" x14ac:dyDescent="0.3">
      <c r="A258" t="s">
        <v>460</v>
      </c>
      <c r="B258" t="s">
        <v>461</v>
      </c>
      <c r="C258">
        <v>105</v>
      </c>
      <c r="D258" t="s">
        <v>15</v>
      </c>
      <c r="E258" s="1">
        <v>45342</v>
      </c>
      <c r="J258">
        <v>92</v>
      </c>
      <c r="K258">
        <v>93</v>
      </c>
    </row>
    <row r="259" spans="1:11" x14ac:dyDescent="0.3">
      <c r="A259" t="s">
        <v>440</v>
      </c>
      <c r="B259" t="s">
        <v>441</v>
      </c>
      <c r="C259">
        <v>97</v>
      </c>
      <c r="D259" t="s">
        <v>28</v>
      </c>
      <c r="E259" s="1">
        <v>45688</v>
      </c>
      <c r="J259">
        <v>70</v>
      </c>
      <c r="K259">
        <v>93</v>
      </c>
    </row>
    <row r="260" spans="1:11" x14ac:dyDescent="0.3">
      <c r="A260" t="s">
        <v>922</v>
      </c>
      <c r="B260" t="s">
        <v>923</v>
      </c>
      <c r="C260">
        <v>131</v>
      </c>
      <c r="D260" t="s">
        <v>28</v>
      </c>
      <c r="E260" s="1">
        <v>44888</v>
      </c>
      <c r="J260">
        <v>74</v>
      </c>
      <c r="K260">
        <v>82</v>
      </c>
    </row>
    <row r="261" spans="1:11" x14ac:dyDescent="0.3">
      <c r="A261" t="s">
        <v>848</v>
      </c>
      <c r="B261" t="s">
        <v>849</v>
      </c>
      <c r="C261">
        <v>161</v>
      </c>
      <c r="D261" t="s">
        <v>15</v>
      </c>
      <c r="E261" s="1">
        <v>44876</v>
      </c>
      <c r="J261">
        <v>67</v>
      </c>
      <c r="K261">
        <v>84</v>
      </c>
    </row>
    <row r="262" spans="1:11" x14ac:dyDescent="0.3">
      <c r="A262" t="s">
        <v>950</v>
      </c>
      <c r="B262" t="s">
        <v>951</v>
      </c>
      <c r="C262">
        <v>141</v>
      </c>
      <c r="D262" t="s">
        <v>15</v>
      </c>
      <c r="E262" s="1">
        <v>45285</v>
      </c>
      <c r="J262">
        <v>72</v>
      </c>
      <c r="K262">
        <v>81</v>
      </c>
    </row>
    <row r="263" spans="1:11" x14ac:dyDescent="0.3">
      <c r="A263" t="s">
        <v>1292</v>
      </c>
      <c r="B263" t="s">
        <v>1293</v>
      </c>
      <c r="C263">
        <v>133</v>
      </c>
      <c r="D263" t="s">
        <v>15</v>
      </c>
      <c r="E263" s="1">
        <v>45198</v>
      </c>
      <c r="J263">
        <v>63</v>
      </c>
      <c r="K263">
        <v>67</v>
      </c>
    </row>
    <row r="264" spans="1:11" x14ac:dyDescent="0.3">
      <c r="A264" t="s">
        <v>1214</v>
      </c>
      <c r="B264" t="s">
        <v>1215</v>
      </c>
      <c r="C264">
        <v>94</v>
      </c>
      <c r="D264" t="s">
        <v>12</v>
      </c>
      <c r="E264" s="1">
        <v>45359</v>
      </c>
      <c r="J264">
        <v>54</v>
      </c>
      <c r="K264">
        <v>71</v>
      </c>
    </row>
    <row r="265" spans="1:11" x14ac:dyDescent="0.3">
      <c r="A265" t="s">
        <v>1474</v>
      </c>
      <c r="B265" t="s">
        <v>1475</v>
      </c>
      <c r="C265">
        <v>141</v>
      </c>
      <c r="D265" t="s">
        <v>15</v>
      </c>
      <c r="E265" s="1">
        <v>45065</v>
      </c>
      <c r="J265">
        <v>56</v>
      </c>
      <c r="K265">
        <v>56</v>
      </c>
    </row>
    <row r="266" spans="1:11" x14ac:dyDescent="0.3">
      <c r="A266" t="s">
        <v>10</v>
      </c>
      <c r="B266" t="s">
        <v>11</v>
      </c>
      <c r="C266">
        <v>69</v>
      </c>
      <c r="D266" t="s">
        <v>12</v>
      </c>
      <c r="E266" s="1">
        <v>44658</v>
      </c>
      <c r="G266">
        <v>715</v>
      </c>
      <c r="I266">
        <v>7</v>
      </c>
      <c r="J266">
        <v>88</v>
      </c>
      <c r="K266">
        <v>100</v>
      </c>
    </row>
    <row r="267" spans="1:11" x14ac:dyDescent="0.3">
      <c r="A267" t="s">
        <v>1504</v>
      </c>
      <c r="B267" t="s">
        <v>1505</v>
      </c>
      <c r="C267">
        <v>103</v>
      </c>
      <c r="D267" t="s">
        <v>15</v>
      </c>
      <c r="E267" s="1">
        <v>45548</v>
      </c>
      <c r="J267">
        <v>56</v>
      </c>
      <c r="K267">
        <v>54</v>
      </c>
    </row>
    <row r="268" spans="1:11" x14ac:dyDescent="0.3">
      <c r="A268" t="s">
        <v>430</v>
      </c>
      <c r="B268" t="s">
        <v>431</v>
      </c>
      <c r="C268">
        <v>105</v>
      </c>
      <c r="D268" t="s">
        <v>28</v>
      </c>
      <c r="E268" s="1">
        <v>44715</v>
      </c>
      <c r="J268">
        <v>72</v>
      </c>
      <c r="K268">
        <v>94</v>
      </c>
    </row>
    <row r="269" spans="1:11" x14ac:dyDescent="0.3">
      <c r="A269" t="s">
        <v>47</v>
      </c>
      <c r="B269" t="s">
        <v>48</v>
      </c>
      <c r="C269">
        <v>97</v>
      </c>
      <c r="D269" t="s">
        <v>15</v>
      </c>
      <c r="E269" s="1">
        <v>44652</v>
      </c>
      <c r="J269">
        <v>79</v>
      </c>
      <c r="K269">
        <v>91</v>
      </c>
    </row>
    <row r="270" spans="1:11" x14ac:dyDescent="0.3">
      <c r="A270" t="s">
        <v>270</v>
      </c>
      <c r="B270" t="s">
        <v>271</v>
      </c>
      <c r="C270">
        <v>95</v>
      </c>
      <c r="D270" t="s">
        <v>28</v>
      </c>
      <c r="E270" s="1">
        <v>44617</v>
      </c>
      <c r="J270">
        <v>74</v>
      </c>
      <c r="K270">
        <v>97</v>
      </c>
    </row>
    <row r="271" spans="1:11" x14ac:dyDescent="0.3">
      <c r="A271" t="s">
        <v>590</v>
      </c>
      <c r="B271" t="s">
        <v>591</v>
      </c>
      <c r="C271">
        <v>126</v>
      </c>
      <c r="D271" t="s">
        <v>28</v>
      </c>
      <c r="E271" s="1">
        <v>45413</v>
      </c>
      <c r="J271">
        <v>77</v>
      </c>
      <c r="K271">
        <v>90</v>
      </c>
    </row>
    <row r="272" spans="1:11" x14ac:dyDescent="0.3">
      <c r="A272" t="s">
        <v>1314</v>
      </c>
      <c r="B272" t="s">
        <v>1315</v>
      </c>
      <c r="C272">
        <v>114</v>
      </c>
      <c r="D272" t="s">
        <v>28</v>
      </c>
      <c r="E272" s="1">
        <v>45366</v>
      </c>
      <c r="J272">
        <v>54</v>
      </c>
      <c r="K272">
        <v>66</v>
      </c>
    </row>
    <row r="273" spans="1:11" x14ac:dyDescent="0.3">
      <c r="A273" t="s">
        <v>1190</v>
      </c>
      <c r="B273" t="s">
        <v>1191</v>
      </c>
      <c r="C273">
        <v>106</v>
      </c>
      <c r="D273" t="s">
        <v>12</v>
      </c>
      <c r="E273" s="1">
        <v>44841</v>
      </c>
      <c r="J273">
        <v>51</v>
      </c>
      <c r="K273">
        <v>72</v>
      </c>
    </row>
    <row r="274" spans="1:11" x14ac:dyDescent="0.3">
      <c r="A274" t="s">
        <v>72</v>
      </c>
      <c r="B274" t="s">
        <v>73</v>
      </c>
      <c r="C274">
        <v>97</v>
      </c>
      <c r="D274" t="s">
        <v>12</v>
      </c>
      <c r="E274" s="1">
        <v>44701</v>
      </c>
      <c r="J274">
        <v>66</v>
      </c>
      <c r="K274">
        <v>81</v>
      </c>
    </row>
    <row r="275" spans="1:11" x14ac:dyDescent="0.3">
      <c r="A275" t="s">
        <v>338</v>
      </c>
      <c r="B275" t="s">
        <v>339</v>
      </c>
      <c r="C275">
        <v>131</v>
      </c>
      <c r="D275" t="s">
        <v>63</v>
      </c>
      <c r="E275" s="1">
        <v>45541</v>
      </c>
      <c r="J275">
        <v>76</v>
      </c>
      <c r="K275">
        <v>95</v>
      </c>
    </row>
    <row r="276" spans="1:11" x14ac:dyDescent="0.3">
      <c r="A276" t="s">
        <v>1194</v>
      </c>
      <c r="B276" t="s">
        <v>1195</v>
      </c>
      <c r="C276">
        <v>147</v>
      </c>
      <c r="D276" t="s">
        <v>28</v>
      </c>
      <c r="E276" s="1">
        <v>44822</v>
      </c>
      <c r="J276">
        <v>63</v>
      </c>
      <c r="K276">
        <v>72</v>
      </c>
    </row>
    <row r="277" spans="1:11" x14ac:dyDescent="0.3">
      <c r="A277" t="s">
        <v>1762</v>
      </c>
      <c r="B277" t="s">
        <v>1763</v>
      </c>
      <c r="C277">
        <v>101</v>
      </c>
      <c r="D277" t="s">
        <v>12</v>
      </c>
      <c r="E277" s="1">
        <v>45436</v>
      </c>
      <c r="J277">
        <v>31</v>
      </c>
      <c r="K277">
        <v>36</v>
      </c>
    </row>
    <row r="278" spans="1:11" x14ac:dyDescent="0.3">
      <c r="A278" t="s">
        <v>705</v>
      </c>
      <c r="B278" t="s">
        <v>706</v>
      </c>
      <c r="C278">
        <v>112</v>
      </c>
      <c r="D278" t="s">
        <v>15</v>
      </c>
      <c r="E278" s="1">
        <v>44904</v>
      </c>
      <c r="J278">
        <v>61</v>
      </c>
      <c r="K278">
        <v>87</v>
      </c>
    </row>
    <row r="279" spans="1:11" x14ac:dyDescent="0.3">
      <c r="A279" t="s">
        <v>1184</v>
      </c>
      <c r="B279" t="s">
        <v>1185</v>
      </c>
      <c r="C279">
        <v>88</v>
      </c>
      <c r="D279" t="s">
        <v>12</v>
      </c>
      <c r="E279" s="1">
        <v>45198</v>
      </c>
      <c r="J279">
        <v>49</v>
      </c>
      <c r="K279">
        <v>72</v>
      </c>
    </row>
    <row r="280" spans="1:11" x14ac:dyDescent="0.3">
      <c r="A280" t="s">
        <v>1398</v>
      </c>
      <c r="B280" t="s">
        <v>1399</v>
      </c>
      <c r="C280">
        <v>100</v>
      </c>
      <c r="D280" t="s">
        <v>12</v>
      </c>
      <c r="E280" s="1">
        <v>45623</v>
      </c>
      <c r="J280">
        <v>58</v>
      </c>
      <c r="K280">
        <v>60</v>
      </c>
    </row>
    <row r="281" spans="1:11" x14ac:dyDescent="0.3">
      <c r="A281" t="s">
        <v>1841</v>
      </c>
      <c r="B281" t="s">
        <v>1842</v>
      </c>
      <c r="C281">
        <v>123</v>
      </c>
      <c r="D281" t="s">
        <v>15</v>
      </c>
      <c r="E281" s="1">
        <v>45611</v>
      </c>
      <c r="J281">
        <v>34</v>
      </c>
      <c r="K281">
        <v>30</v>
      </c>
    </row>
    <row r="282" spans="1:11" x14ac:dyDescent="0.3">
      <c r="A282" t="s">
        <v>1288</v>
      </c>
      <c r="B282" t="s">
        <v>1289</v>
      </c>
      <c r="C282">
        <v>106</v>
      </c>
      <c r="D282" t="s">
        <v>15</v>
      </c>
      <c r="E282" s="1">
        <v>44631</v>
      </c>
      <c r="J282">
        <v>55</v>
      </c>
      <c r="K282">
        <v>68</v>
      </c>
    </row>
    <row r="283" spans="1:11" x14ac:dyDescent="0.3">
      <c r="A283" t="s">
        <v>1655</v>
      </c>
      <c r="B283" t="s">
        <v>1656</v>
      </c>
      <c r="C283">
        <v>110</v>
      </c>
      <c r="D283" t="s">
        <v>28</v>
      </c>
      <c r="E283" s="1">
        <v>45373</v>
      </c>
      <c r="J283">
        <v>45</v>
      </c>
      <c r="K283">
        <v>43</v>
      </c>
    </row>
    <row r="284" spans="1:11" x14ac:dyDescent="0.3">
      <c r="A284" t="s">
        <v>1344</v>
      </c>
      <c r="B284" t="s">
        <v>1345</v>
      </c>
      <c r="C284">
        <v>157</v>
      </c>
      <c r="D284" t="s">
        <v>15</v>
      </c>
      <c r="E284" s="1">
        <v>45247</v>
      </c>
      <c r="J284">
        <v>54</v>
      </c>
      <c r="K284">
        <v>64</v>
      </c>
    </row>
    <row r="285" spans="1:11" x14ac:dyDescent="0.3">
      <c r="A285" t="s">
        <v>1470</v>
      </c>
      <c r="B285" t="s">
        <v>1471</v>
      </c>
      <c r="C285">
        <v>110</v>
      </c>
      <c r="D285" t="s">
        <v>15</v>
      </c>
      <c r="E285" s="1">
        <v>45359</v>
      </c>
      <c r="J285">
        <v>46</v>
      </c>
      <c r="K285">
        <v>56</v>
      </c>
    </row>
    <row r="286" spans="1:11" x14ac:dyDescent="0.3">
      <c r="A286" t="s">
        <v>1496</v>
      </c>
      <c r="B286" t="s">
        <v>1497</v>
      </c>
      <c r="C286">
        <v>94</v>
      </c>
      <c r="D286" t="s">
        <v>12</v>
      </c>
      <c r="E286" s="1">
        <v>45476</v>
      </c>
      <c r="J286">
        <v>52</v>
      </c>
      <c r="K286">
        <v>55</v>
      </c>
    </row>
    <row r="287" spans="1:11" x14ac:dyDescent="0.3">
      <c r="A287" t="s">
        <v>580</v>
      </c>
      <c r="B287" t="s">
        <v>581</v>
      </c>
      <c r="C287">
        <v>111</v>
      </c>
      <c r="D287" t="s">
        <v>28</v>
      </c>
      <c r="E287" s="1">
        <v>45604</v>
      </c>
      <c r="J287">
        <v>71</v>
      </c>
      <c r="K287">
        <v>90</v>
      </c>
    </row>
    <row r="288" spans="1:11" x14ac:dyDescent="0.3">
      <c r="A288" t="s">
        <v>715</v>
      </c>
      <c r="B288" t="s">
        <v>716</v>
      </c>
      <c r="C288">
        <v>102</v>
      </c>
      <c r="D288" t="s">
        <v>15</v>
      </c>
      <c r="E288" s="1">
        <v>44708</v>
      </c>
      <c r="J288">
        <v>75</v>
      </c>
      <c r="K288">
        <v>87</v>
      </c>
    </row>
    <row r="289" spans="1:11" x14ac:dyDescent="0.3">
      <c r="A289" t="s">
        <v>106</v>
      </c>
      <c r="B289" t="s">
        <v>107</v>
      </c>
      <c r="C289">
        <v>113</v>
      </c>
      <c r="D289" t="s">
        <v>12</v>
      </c>
      <c r="E289" s="1">
        <v>45408</v>
      </c>
      <c r="J289">
        <v>46</v>
      </c>
      <c r="K289">
        <v>61</v>
      </c>
    </row>
    <row r="290" spans="1:11" x14ac:dyDescent="0.3">
      <c r="A290" t="s">
        <v>312</v>
      </c>
      <c r="B290" t="s">
        <v>313</v>
      </c>
      <c r="C290">
        <v>102</v>
      </c>
      <c r="D290" t="s">
        <v>15</v>
      </c>
      <c r="E290" s="1">
        <v>44869</v>
      </c>
      <c r="J290">
        <v>81</v>
      </c>
      <c r="K290">
        <v>96</v>
      </c>
    </row>
    <row r="291" spans="1:11" x14ac:dyDescent="0.3">
      <c r="A291" t="s">
        <v>934</v>
      </c>
      <c r="B291" t="s">
        <v>935</v>
      </c>
      <c r="C291">
        <v>114</v>
      </c>
      <c r="D291" t="s">
        <v>28</v>
      </c>
      <c r="E291" s="1">
        <v>44624</v>
      </c>
      <c r="J291">
        <v>67</v>
      </c>
      <c r="K291">
        <v>82</v>
      </c>
    </row>
    <row r="292" spans="1:11" x14ac:dyDescent="0.3">
      <c r="A292" t="s">
        <v>1534</v>
      </c>
      <c r="B292" t="s">
        <v>1535</v>
      </c>
      <c r="C292">
        <v>104</v>
      </c>
      <c r="D292" t="s">
        <v>12</v>
      </c>
      <c r="E292" s="1">
        <v>45429</v>
      </c>
      <c r="J292">
        <v>46</v>
      </c>
      <c r="K292">
        <v>51</v>
      </c>
    </row>
    <row r="293" spans="1:11" x14ac:dyDescent="0.3">
      <c r="A293" t="s">
        <v>442</v>
      </c>
      <c r="B293" t="s">
        <v>443</v>
      </c>
      <c r="C293">
        <v>216</v>
      </c>
      <c r="D293" t="s">
        <v>28</v>
      </c>
      <c r="E293" s="1">
        <v>45681</v>
      </c>
      <c r="F293">
        <v>7.5</v>
      </c>
      <c r="J293">
        <v>90</v>
      </c>
      <c r="K293">
        <v>93</v>
      </c>
    </row>
    <row r="294" spans="1:11" x14ac:dyDescent="0.3">
      <c r="A294" t="s">
        <v>898</v>
      </c>
      <c r="B294" t="s">
        <v>899</v>
      </c>
      <c r="C294">
        <v>126</v>
      </c>
      <c r="D294" t="s">
        <v>15</v>
      </c>
      <c r="E294" s="1">
        <v>45415</v>
      </c>
      <c r="J294">
        <v>73</v>
      </c>
      <c r="K294">
        <v>82</v>
      </c>
    </row>
    <row r="295" spans="1:11" x14ac:dyDescent="0.3">
      <c r="A295" t="s">
        <v>424</v>
      </c>
      <c r="B295" t="s">
        <v>425</v>
      </c>
      <c r="C295">
        <v>97</v>
      </c>
      <c r="D295" t="s">
        <v>28</v>
      </c>
      <c r="E295" s="1">
        <v>44729</v>
      </c>
      <c r="J295">
        <v>78</v>
      </c>
      <c r="K295">
        <v>94</v>
      </c>
    </row>
    <row r="296" spans="1:11" x14ac:dyDescent="0.3">
      <c r="A296" t="s">
        <v>1178</v>
      </c>
      <c r="B296" t="s">
        <v>1179</v>
      </c>
      <c r="C296">
        <v>131</v>
      </c>
      <c r="D296" t="s">
        <v>28</v>
      </c>
      <c r="E296" s="1">
        <v>45282</v>
      </c>
      <c r="J296">
        <v>61</v>
      </c>
      <c r="K296">
        <v>72</v>
      </c>
    </row>
    <row r="297" spans="1:11" x14ac:dyDescent="0.3">
      <c r="A297" t="s">
        <v>1052</v>
      </c>
      <c r="B297" t="s">
        <v>1053</v>
      </c>
      <c r="C297">
        <v>122</v>
      </c>
      <c r="D297" t="s">
        <v>28</v>
      </c>
      <c r="E297" s="1">
        <v>44995</v>
      </c>
      <c r="J297">
        <v>61</v>
      </c>
      <c r="K297">
        <v>77</v>
      </c>
    </row>
    <row r="298" spans="1:11" x14ac:dyDescent="0.3">
      <c r="A298" t="s">
        <v>1494</v>
      </c>
      <c r="B298" t="s">
        <v>1495</v>
      </c>
      <c r="C298">
        <v>130</v>
      </c>
      <c r="D298" t="s">
        <v>15</v>
      </c>
      <c r="E298" s="1">
        <v>45513</v>
      </c>
      <c r="J298">
        <v>53</v>
      </c>
      <c r="K298">
        <v>55</v>
      </c>
    </row>
    <row r="299" spans="1:11" x14ac:dyDescent="0.3">
      <c r="A299" t="s">
        <v>1106</v>
      </c>
      <c r="B299" t="s">
        <v>1107</v>
      </c>
      <c r="C299">
        <v>105</v>
      </c>
      <c r="D299" t="s">
        <v>15</v>
      </c>
      <c r="E299" s="1">
        <v>45541</v>
      </c>
      <c r="J299">
        <v>62</v>
      </c>
      <c r="K299">
        <v>75</v>
      </c>
    </row>
    <row r="300" spans="1:11" x14ac:dyDescent="0.3">
      <c r="A300" t="s">
        <v>984</v>
      </c>
      <c r="B300" t="s">
        <v>985</v>
      </c>
      <c r="C300">
        <v>100</v>
      </c>
      <c r="D300" t="s">
        <v>28</v>
      </c>
      <c r="E300" s="1">
        <v>45387</v>
      </c>
      <c r="J300">
        <v>58</v>
      </c>
      <c r="K300">
        <v>80</v>
      </c>
    </row>
    <row r="301" spans="1:11" x14ac:dyDescent="0.3">
      <c r="A301" t="s">
        <v>454</v>
      </c>
      <c r="B301" t="s">
        <v>455</v>
      </c>
      <c r="C301">
        <v>112</v>
      </c>
      <c r="D301" t="s">
        <v>28</v>
      </c>
      <c r="E301" s="1">
        <v>45569</v>
      </c>
      <c r="J301">
        <v>78</v>
      </c>
      <c r="K301">
        <v>93</v>
      </c>
    </row>
    <row r="302" spans="1:11" x14ac:dyDescent="0.3">
      <c r="A302" t="s">
        <v>869</v>
      </c>
      <c r="B302" t="s">
        <v>870</v>
      </c>
      <c r="C302">
        <v>98</v>
      </c>
      <c r="D302" t="s">
        <v>12</v>
      </c>
      <c r="E302" s="1">
        <v>45275</v>
      </c>
      <c r="J302">
        <v>63</v>
      </c>
      <c r="K302">
        <v>83</v>
      </c>
    </row>
    <row r="303" spans="1:11" x14ac:dyDescent="0.3">
      <c r="A303" t="s">
        <v>630</v>
      </c>
      <c r="B303" t="s">
        <v>631</v>
      </c>
      <c r="C303">
        <v>89</v>
      </c>
      <c r="D303" t="s">
        <v>632</v>
      </c>
      <c r="E303" s="1">
        <v>45302</v>
      </c>
      <c r="J303">
        <v>72</v>
      </c>
      <c r="K303">
        <v>89</v>
      </c>
    </row>
    <row r="304" spans="1:11" x14ac:dyDescent="0.3">
      <c r="A304" t="s">
        <v>116</v>
      </c>
      <c r="B304" t="s">
        <v>117</v>
      </c>
      <c r="C304">
        <v>121</v>
      </c>
      <c r="D304" t="s">
        <v>28</v>
      </c>
      <c r="E304" s="1">
        <v>45372</v>
      </c>
      <c r="J304">
        <v>57</v>
      </c>
      <c r="K304">
        <v>50</v>
      </c>
    </row>
    <row r="305" spans="1:11" x14ac:dyDescent="0.3">
      <c r="A305" t="s">
        <v>16</v>
      </c>
      <c r="B305" t="s">
        <v>17</v>
      </c>
      <c r="C305">
        <v>121</v>
      </c>
      <c r="D305" t="s">
        <v>18</v>
      </c>
      <c r="E305" s="1">
        <v>45021</v>
      </c>
      <c r="J305">
        <v>79</v>
      </c>
      <c r="K305">
        <v>98</v>
      </c>
    </row>
    <row r="306" spans="1:11" x14ac:dyDescent="0.3">
      <c r="A306" t="s">
        <v>503</v>
      </c>
      <c r="B306" t="s">
        <v>504</v>
      </c>
      <c r="C306">
        <v>99</v>
      </c>
      <c r="D306" t="s">
        <v>12</v>
      </c>
      <c r="E306" s="1">
        <v>45604</v>
      </c>
      <c r="J306">
        <v>60</v>
      </c>
      <c r="K306">
        <v>92</v>
      </c>
    </row>
    <row r="307" spans="1:11" x14ac:dyDescent="0.3">
      <c r="A307" t="s">
        <v>498</v>
      </c>
      <c r="B307" t="s">
        <v>499</v>
      </c>
      <c r="C307">
        <v>101</v>
      </c>
      <c r="D307" t="s">
        <v>12</v>
      </c>
      <c r="E307" s="1">
        <v>45681</v>
      </c>
      <c r="G307">
        <v>845</v>
      </c>
      <c r="J307">
        <v>76</v>
      </c>
      <c r="K307">
        <v>92</v>
      </c>
    </row>
    <row r="308" spans="1:11" x14ac:dyDescent="0.3">
      <c r="A308" t="s">
        <v>667</v>
      </c>
      <c r="B308" t="s">
        <v>668</v>
      </c>
      <c r="C308">
        <v>131</v>
      </c>
      <c r="D308" t="s">
        <v>28</v>
      </c>
      <c r="E308" s="1">
        <v>45408</v>
      </c>
      <c r="J308">
        <v>82</v>
      </c>
      <c r="K308">
        <v>88</v>
      </c>
    </row>
    <row r="309" spans="1:11" x14ac:dyDescent="0.3">
      <c r="A309" t="s">
        <v>1240</v>
      </c>
      <c r="B309" t="s">
        <v>1241</v>
      </c>
      <c r="C309">
        <v>101</v>
      </c>
      <c r="D309" t="s">
        <v>28</v>
      </c>
      <c r="E309" s="1">
        <v>45442</v>
      </c>
      <c r="J309">
        <v>57</v>
      </c>
      <c r="K309">
        <v>70</v>
      </c>
    </row>
    <row r="310" spans="1:11" x14ac:dyDescent="0.3">
      <c r="A310" t="s">
        <v>278</v>
      </c>
      <c r="B310" t="s">
        <v>279</v>
      </c>
      <c r="C310">
        <v>97</v>
      </c>
      <c r="D310" t="s">
        <v>28</v>
      </c>
      <c r="E310" s="1">
        <v>45527</v>
      </c>
      <c r="J310">
        <v>80</v>
      </c>
      <c r="K310">
        <v>96</v>
      </c>
    </row>
    <row r="311" spans="1:11" x14ac:dyDescent="0.3">
      <c r="A311" t="s">
        <v>800</v>
      </c>
      <c r="B311" t="s">
        <v>801</v>
      </c>
      <c r="C311">
        <v>96</v>
      </c>
      <c r="D311" t="s">
        <v>28</v>
      </c>
      <c r="E311" s="1">
        <v>45037</v>
      </c>
      <c r="J311">
        <v>69</v>
      </c>
      <c r="K311">
        <v>85</v>
      </c>
    </row>
    <row r="312" spans="1:11" x14ac:dyDescent="0.3">
      <c r="A312" t="s">
        <v>659</v>
      </c>
      <c r="B312" t="s">
        <v>660</v>
      </c>
      <c r="C312">
        <v>160</v>
      </c>
      <c r="D312" t="s">
        <v>12</v>
      </c>
      <c r="E312" s="1">
        <v>45618</v>
      </c>
      <c r="F312">
        <v>7.5</v>
      </c>
      <c r="J312">
        <v>73</v>
      </c>
      <c r="K312">
        <v>88</v>
      </c>
    </row>
    <row r="313" spans="1:11" x14ac:dyDescent="0.3">
      <c r="A313" t="s">
        <v>1617</v>
      </c>
      <c r="B313" t="s">
        <v>1618</v>
      </c>
      <c r="C313">
        <v>122</v>
      </c>
      <c r="D313" t="s">
        <v>15</v>
      </c>
      <c r="E313" s="1">
        <v>44764</v>
      </c>
      <c r="J313">
        <v>49</v>
      </c>
      <c r="K313">
        <v>46</v>
      </c>
    </row>
    <row r="314" spans="1:11" x14ac:dyDescent="0.3">
      <c r="A314" t="s">
        <v>386</v>
      </c>
      <c r="B314" t="s">
        <v>387</v>
      </c>
      <c r="C314">
        <v>98</v>
      </c>
      <c r="D314" t="s">
        <v>25</v>
      </c>
      <c r="E314" s="1">
        <v>45448</v>
      </c>
      <c r="G314">
        <v>609</v>
      </c>
      <c r="I314">
        <v>18</v>
      </c>
      <c r="J314">
        <v>79</v>
      </c>
      <c r="K314">
        <v>94</v>
      </c>
    </row>
    <row r="315" spans="1:11" x14ac:dyDescent="0.3">
      <c r="A315" t="s">
        <v>1030</v>
      </c>
      <c r="B315" t="s">
        <v>1031</v>
      </c>
      <c r="C315">
        <v>87</v>
      </c>
      <c r="D315" t="s">
        <v>15</v>
      </c>
      <c r="E315" s="1">
        <v>44683</v>
      </c>
      <c r="G315">
        <v>978</v>
      </c>
      <c r="I315">
        <v>26</v>
      </c>
      <c r="J315">
        <v>68</v>
      </c>
      <c r="K315">
        <v>78</v>
      </c>
    </row>
    <row r="316" spans="1:11" x14ac:dyDescent="0.3">
      <c r="A316" t="s">
        <v>787</v>
      </c>
      <c r="B316" t="s">
        <v>788</v>
      </c>
      <c r="C316">
        <v>108</v>
      </c>
      <c r="D316" t="s">
        <v>28</v>
      </c>
      <c r="E316" s="1">
        <v>45358</v>
      </c>
      <c r="G316">
        <v>472</v>
      </c>
      <c r="I316">
        <v>28</v>
      </c>
      <c r="J316">
        <v>64</v>
      </c>
      <c r="K316">
        <v>85</v>
      </c>
    </row>
    <row r="317" spans="1:11" x14ac:dyDescent="0.3">
      <c r="A317" t="s">
        <v>154</v>
      </c>
      <c r="B317" t="s">
        <v>155</v>
      </c>
      <c r="C317">
        <v>107</v>
      </c>
      <c r="D317" t="s">
        <v>28</v>
      </c>
      <c r="E317" s="1">
        <v>45635</v>
      </c>
      <c r="I317">
        <v>54</v>
      </c>
      <c r="J317">
        <v>90</v>
      </c>
      <c r="K317">
        <v>100</v>
      </c>
    </row>
    <row r="318" spans="1:11" x14ac:dyDescent="0.3">
      <c r="A318" t="s">
        <v>196</v>
      </c>
      <c r="B318" t="s">
        <v>197</v>
      </c>
      <c r="C318">
        <v>97</v>
      </c>
      <c r="D318" t="s">
        <v>18</v>
      </c>
      <c r="E318" s="1">
        <v>44964</v>
      </c>
      <c r="J318">
        <v>87</v>
      </c>
      <c r="K318">
        <v>99</v>
      </c>
    </row>
    <row r="319" spans="1:11" x14ac:dyDescent="0.3">
      <c r="A319" t="s">
        <v>1172</v>
      </c>
      <c r="B319" t="s">
        <v>1173</v>
      </c>
      <c r="C319">
        <v>139</v>
      </c>
      <c r="D319" t="s">
        <v>28</v>
      </c>
      <c r="E319" s="1">
        <v>45590</v>
      </c>
      <c r="J319">
        <v>74</v>
      </c>
      <c r="K319">
        <v>72</v>
      </c>
    </row>
    <row r="320" spans="1:11" x14ac:dyDescent="0.3">
      <c r="A320" t="s">
        <v>254</v>
      </c>
      <c r="B320" t="s">
        <v>255</v>
      </c>
      <c r="C320">
        <v>125</v>
      </c>
      <c r="D320" t="s">
        <v>25</v>
      </c>
      <c r="E320" s="1">
        <v>45023</v>
      </c>
      <c r="J320">
        <v>81</v>
      </c>
      <c r="K320">
        <v>97</v>
      </c>
    </row>
    <row r="321" spans="1:11" x14ac:dyDescent="0.3">
      <c r="A321" t="s">
        <v>515</v>
      </c>
      <c r="B321" t="s">
        <v>516</v>
      </c>
      <c r="C321">
        <v>97</v>
      </c>
      <c r="D321" t="s">
        <v>160</v>
      </c>
      <c r="E321" s="1">
        <v>45268</v>
      </c>
      <c r="J321">
        <v>65</v>
      </c>
      <c r="K321">
        <v>92</v>
      </c>
    </row>
    <row r="322" spans="1:11" x14ac:dyDescent="0.3">
      <c r="A322" t="s">
        <v>55</v>
      </c>
      <c r="B322" t="s">
        <v>56</v>
      </c>
      <c r="C322">
        <v>130</v>
      </c>
      <c r="D322" t="s">
        <v>28</v>
      </c>
      <c r="E322" s="1">
        <v>44848</v>
      </c>
      <c r="J322">
        <v>75</v>
      </c>
      <c r="K322">
        <v>87</v>
      </c>
    </row>
    <row r="323" spans="1:11" x14ac:dyDescent="0.3">
      <c r="A323" t="s">
        <v>234</v>
      </c>
      <c r="B323" t="s">
        <v>235</v>
      </c>
      <c r="C323">
        <v>90</v>
      </c>
      <c r="D323" t="s">
        <v>28</v>
      </c>
      <c r="E323" s="1">
        <v>45422</v>
      </c>
      <c r="J323">
        <v>72</v>
      </c>
      <c r="K323">
        <v>97</v>
      </c>
    </row>
    <row r="324" spans="1:11" x14ac:dyDescent="0.3">
      <c r="A324" t="s">
        <v>1732</v>
      </c>
      <c r="B324" t="s">
        <v>1733</v>
      </c>
      <c r="C324">
        <v>125</v>
      </c>
      <c r="D324" t="s">
        <v>28</v>
      </c>
      <c r="E324" s="1">
        <v>44813</v>
      </c>
      <c r="J324">
        <v>46</v>
      </c>
      <c r="K324">
        <v>39</v>
      </c>
    </row>
    <row r="325" spans="1:11" x14ac:dyDescent="0.3">
      <c r="A325" t="s">
        <v>894</v>
      </c>
      <c r="B325" t="s">
        <v>895</v>
      </c>
      <c r="C325">
        <v>122</v>
      </c>
      <c r="D325" t="s">
        <v>28</v>
      </c>
      <c r="E325" s="1">
        <v>45576</v>
      </c>
      <c r="J325">
        <v>64</v>
      </c>
      <c r="K325">
        <v>82</v>
      </c>
    </row>
    <row r="326" spans="1:11" x14ac:dyDescent="0.3">
      <c r="A326" t="s">
        <v>1980</v>
      </c>
      <c r="B326" t="s">
        <v>1981</v>
      </c>
      <c r="C326">
        <v>93</v>
      </c>
      <c r="D326" t="s">
        <v>15</v>
      </c>
      <c r="E326" s="1">
        <v>44862</v>
      </c>
      <c r="J326">
        <v>38</v>
      </c>
      <c r="K326">
        <v>15</v>
      </c>
    </row>
    <row r="327" spans="1:11" x14ac:dyDescent="0.3">
      <c r="A327" t="s">
        <v>626</v>
      </c>
      <c r="B327" t="s">
        <v>627</v>
      </c>
      <c r="C327">
        <v>121</v>
      </c>
      <c r="D327" t="s">
        <v>28</v>
      </c>
      <c r="E327" s="1">
        <v>45387</v>
      </c>
      <c r="J327">
        <v>70</v>
      </c>
      <c r="K327">
        <v>89</v>
      </c>
    </row>
    <row r="328" spans="1:11" x14ac:dyDescent="0.3">
      <c r="A328" t="s">
        <v>1542</v>
      </c>
      <c r="B328" t="s">
        <v>1543</v>
      </c>
      <c r="C328">
        <v>103</v>
      </c>
      <c r="D328" t="s">
        <v>28</v>
      </c>
      <c r="E328" s="1">
        <v>45030</v>
      </c>
      <c r="J328">
        <v>45</v>
      </c>
      <c r="K328">
        <v>51</v>
      </c>
    </row>
    <row r="329" spans="1:11" x14ac:dyDescent="0.3">
      <c r="A329" t="s">
        <v>948</v>
      </c>
      <c r="B329" t="s">
        <v>949</v>
      </c>
      <c r="C329">
        <v>109</v>
      </c>
      <c r="D329" t="s">
        <v>28</v>
      </c>
      <c r="E329" s="1">
        <v>45394</v>
      </c>
      <c r="J329">
        <v>75</v>
      </c>
      <c r="K329">
        <v>81</v>
      </c>
    </row>
    <row r="330" spans="1:11" x14ac:dyDescent="0.3">
      <c r="A330" t="s">
        <v>673</v>
      </c>
      <c r="B330" t="s">
        <v>674</v>
      </c>
      <c r="C330">
        <v>114</v>
      </c>
      <c r="D330" t="s">
        <v>15</v>
      </c>
      <c r="E330" s="1">
        <v>45128</v>
      </c>
      <c r="J330">
        <v>80</v>
      </c>
      <c r="K330">
        <v>88</v>
      </c>
    </row>
    <row r="331" spans="1:11" x14ac:dyDescent="0.3">
      <c r="A331" t="s">
        <v>1026</v>
      </c>
      <c r="B331" t="s">
        <v>1027</v>
      </c>
      <c r="C331">
        <v>107</v>
      </c>
      <c r="D331" t="s">
        <v>28</v>
      </c>
      <c r="E331" s="1">
        <v>44953</v>
      </c>
      <c r="J331">
        <v>62</v>
      </c>
      <c r="K331">
        <v>78</v>
      </c>
    </row>
    <row r="332" spans="1:11" x14ac:dyDescent="0.3">
      <c r="A332" t="s">
        <v>1870</v>
      </c>
      <c r="B332" t="s">
        <v>1871</v>
      </c>
      <c r="C332">
        <v>126</v>
      </c>
      <c r="D332" t="s">
        <v>28</v>
      </c>
      <c r="E332" s="1">
        <v>45275</v>
      </c>
      <c r="J332">
        <v>44</v>
      </c>
      <c r="K332">
        <v>28</v>
      </c>
    </row>
    <row r="333" spans="1:11" x14ac:dyDescent="0.3">
      <c r="A333" t="s">
        <v>535</v>
      </c>
      <c r="B333" t="s">
        <v>536</v>
      </c>
      <c r="C333">
        <v>93</v>
      </c>
      <c r="D333" t="s">
        <v>15</v>
      </c>
      <c r="E333" s="1">
        <v>45716</v>
      </c>
      <c r="J333">
        <v>66</v>
      </c>
      <c r="K333">
        <v>91</v>
      </c>
    </row>
    <row r="334" spans="1:11" x14ac:dyDescent="0.3">
      <c r="A334" t="s">
        <v>657</v>
      </c>
      <c r="B334" t="s">
        <v>658</v>
      </c>
      <c r="C334">
        <v>119</v>
      </c>
      <c r="D334" t="s">
        <v>15</v>
      </c>
      <c r="E334" s="1">
        <v>45639</v>
      </c>
      <c r="J334">
        <v>69</v>
      </c>
      <c r="K334">
        <v>88</v>
      </c>
    </row>
    <row r="335" spans="1:11" x14ac:dyDescent="0.3">
      <c r="A335" t="s">
        <v>138</v>
      </c>
      <c r="B335" t="s">
        <v>139</v>
      </c>
      <c r="C335">
        <v>116</v>
      </c>
      <c r="D335" t="s">
        <v>15</v>
      </c>
      <c r="E335" s="1">
        <v>45037</v>
      </c>
      <c r="J335">
        <v>34</v>
      </c>
      <c r="K335">
        <v>25</v>
      </c>
    </row>
    <row r="336" spans="1:11" x14ac:dyDescent="0.3">
      <c r="A336" t="s">
        <v>446</v>
      </c>
      <c r="B336" t="s">
        <v>447</v>
      </c>
      <c r="C336">
        <v>114</v>
      </c>
      <c r="D336" t="s">
        <v>15</v>
      </c>
      <c r="E336" s="1">
        <v>45646</v>
      </c>
      <c r="J336">
        <v>72</v>
      </c>
      <c r="K336">
        <v>93</v>
      </c>
    </row>
    <row r="337" spans="1:11" x14ac:dyDescent="0.3">
      <c r="A337" t="s">
        <v>1232</v>
      </c>
      <c r="B337" t="s">
        <v>1233</v>
      </c>
      <c r="C337">
        <v>108</v>
      </c>
      <c r="D337" t="s">
        <v>28</v>
      </c>
      <c r="E337" s="1">
        <v>44799</v>
      </c>
      <c r="J337">
        <v>60</v>
      </c>
      <c r="K337">
        <v>71</v>
      </c>
    </row>
    <row r="338" spans="1:11" x14ac:dyDescent="0.3">
      <c r="A338" t="s">
        <v>1144</v>
      </c>
      <c r="B338" t="s">
        <v>1145</v>
      </c>
      <c r="C338">
        <v>105</v>
      </c>
      <c r="D338" t="s">
        <v>12</v>
      </c>
      <c r="E338" s="1">
        <v>44729</v>
      </c>
      <c r="J338">
        <v>60</v>
      </c>
      <c r="K338">
        <v>74</v>
      </c>
    </row>
    <row r="339" spans="1:11" x14ac:dyDescent="0.3">
      <c r="A339" t="s">
        <v>1138</v>
      </c>
      <c r="B339" t="s">
        <v>1139</v>
      </c>
      <c r="C339">
        <v>121</v>
      </c>
      <c r="D339" t="s">
        <v>28</v>
      </c>
      <c r="E339" s="1">
        <v>44860</v>
      </c>
      <c r="J339">
        <v>65</v>
      </c>
      <c r="K339">
        <v>74</v>
      </c>
    </row>
    <row r="340" spans="1:11" x14ac:dyDescent="0.3">
      <c r="A340" t="s">
        <v>128</v>
      </c>
      <c r="B340" t="s">
        <v>129</v>
      </c>
      <c r="C340">
        <v>116</v>
      </c>
      <c r="D340" t="s">
        <v>15</v>
      </c>
      <c r="E340" s="1">
        <v>44610</v>
      </c>
      <c r="J340">
        <v>45</v>
      </c>
      <c r="K340">
        <v>41</v>
      </c>
    </row>
    <row r="341" spans="1:11" x14ac:dyDescent="0.3">
      <c r="A341" t="s">
        <v>1492</v>
      </c>
      <c r="B341" t="s">
        <v>1493</v>
      </c>
      <c r="C341">
        <v>94</v>
      </c>
      <c r="D341" t="s">
        <v>28</v>
      </c>
      <c r="E341" s="1">
        <v>45517</v>
      </c>
      <c r="J341">
        <v>48</v>
      </c>
      <c r="K341">
        <v>55</v>
      </c>
    </row>
    <row r="342" spans="1:11" x14ac:dyDescent="0.3">
      <c r="A342" t="s">
        <v>1518</v>
      </c>
      <c r="B342" t="s">
        <v>1519</v>
      </c>
      <c r="C342">
        <v>119</v>
      </c>
      <c r="D342" t="s">
        <v>28</v>
      </c>
      <c r="E342" s="1">
        <v>45022</v>
      </c>
      <c r="J342">
        <v>43</v>
      </c>
      <c r="K342">
        <v>53</v>
      </c>
    </row>
    <row r="343" spans="1:11" x14ac:dyDescent="0.3">
      <c r="A343" t="s">
        <v>101</v>
      </c>
      <c r="B343">
        <v>1992</v>
      </c>
      <c r="C343">
        <v>97</v>
      </c>
      <c r="D343" t="s">
        <v>28</v>
      </c>
      <c r="E343" s="1">
        <v>45534</v>
      </c>
      <c r="J343">
        <v>44</v>
      </c>
      <c r="K343">
        <v>65</v>
      </c>
    </row>
    <row r="344" spans="1:11" x14ac:dyDescent="0.3">
      <c r="A344" t="s">
        <v>1384</v>
      </c>
      <c r="B344" t="s">
        <v>1385</v>
      </c>
      <c r="C344">
        <v>110</v>
      </c>
      <c r="D344" t="s">
        <v>90</v>
      </c>
      <c r="E344" s="1">
        <v>44790</v>
      </c>
      <c r="J344">
        <v>49</v>
      </c>
      <c r="K344">
        <v>62</v>
      </c>
    </row>
    <row r="345" spans="1:11" x14ac:dyDescent="0.3">
      <c r="A345" t="s">
        <v>202</v>
      </c>
      <c r="B345" t="s">
        <v>203</v>
      </c>
      <c r="C345">
        <v>98</v>
      </c>
      <c r="D345" t="s">
        <v>15</v>
      </c>
      <c r="E345" s="1">
        <v>45464</v>
      </c>
      <c r="J345">
        <v>77</v>
      </c>
      <c r="K345">
        <v>98</v>
      </c>
    </row>
    <row r="346" spans="1:11" x14ac:dyDescent="0.3">
      <c r="A346" t="s">
        <v>1278</v>
      </c>
      <c r="B346" t="s">
        <v>1279</v>
      </c>
      <c r="C346">
        <v>116</v>
      </c>
      <c r="D346" t="s">
        <v>28</v>
      </c>
      <c r="E346" s="1">
        <v>44974</v>
      </c>
      <c r="J346">
        <v>65</v>
      </c>
      <c r="K346">
        <v>68</v>
      </c>
    </row>
    <row r="347" spans="1:11" x14ac:dyDescent="0.3">
      <c r="A347" t="s">
        <v>1248</v>
      </c>
      <c r="B347" t="s">
        <v>1249</v>
      </c>
      <c r="C347">
        <v>127</v>
      </c>
      <c r="D347" t="s">
        <v>15</v>
      </c>
      <c r="E347" s="1">
        <v>44883</v>
      </c>
      <c r="J347">
        <v>55</v>
      </c>
      <c r="K347">
        <v>70</v>
      </c>
    </row>
    <row r="348" spans="1:11" x14ac:dyDescent="0.3">
      <c r="A348" t="s">
        <v>753</v>
      </c>
      <c r="B348" t="s">
        <v>754</v>
      </c>
      <c r="C348">
        <v>107</v>
      </c>
      <c r="D348" t="s">
        <v>15</v>
      </c>
      <c r="E348" s="1">
        <v>44942</v>
      </c>
      <c r="J348">
        <v>60</v>
      </c>
      <c r="K348">
        <v>86</v>
      </c>
    </row>
    <row r="349" spans="1:11" x14ac:dyDescent="0.3">
      <c r="A349" t="s">
        <v>531</v>
      </c>
      <c r="B349" t="s">
        <v>532</v>
      </c>
      <c r="C349">
        <v>102</v>
      </c>
      <c r="D349" t="s">
        <v>28</v>
      </c>
      <c r="E349" s="1">
        <v>44813</v>
      </c>
      <c r="J349">
        <v>78</v>
      </c>
      <c r="K349">
        <v>92</v>
      </c>
    </row>
    <row r="350" spans="1:11" x14ac:dyDescent="0.3">
      <c r="A350" t="s">
        <v>230</v>
      </c>
      <c r="B350" t="s">
        <v>231</v>
      </c>
      <c r="C350">
        <v>101</v>
      </c>
      <c r="D350" t="s">
        <v>28</v>
      </c>
      <c r="E350" s="1">
        <v>45555</v>
      </c>
      <c r="J350">
        <v>84</v>
      </c>
      <c r="K350">
        <v>97</v>
      </c>
    </row>
    <row r="351" spans="1:11" x14ac:dyDescent="0.3">
      <c r="A351" t="s">
        <v>1386</v>
      </c>
      <c r="B351" t="s">
        <v>1387</v>
      </c>
      <c r="C351">
        <v>95</v>
      </c>
      <c r="D351" t="s">
        <v>28</v>
      </c>
      <c r="E351" s="1">
        <v>44617</v>
      </c>
      <c r="J351">
        <v>54</v>
      </c>
      <c r="K351">
        <v>62</v>
      </c>
    </row>
    <row r="352" spans="1:11" x14ac:dyDescent="0.3">
      <c r="A352" s="16" t="s">
        <v>486</v>
      </c>
      <c r="B352" s="16" t="s">
        <v>487</v>
      </c>
      <c r="C352" s="16">
        <v>127</v>
      </c>
      <c r="D352" s="16" t="s">
        <v>18</v>
      </c>
      <c r="E352" s="17">
        <v>44764</v>
      </c>
      <c r="F352" s="16">
        <v>7.9</v>
      </c>
      <c r="G352" s="16">
        <v>1500</v>
      </c>
      <c r="I352">
        <v>25</v>
      </c>
      <c r="J352">
        <v>70</v>
      </c>
      <c r="K352">
        <v>93</v>
      </c>
    </row>
    <row r="353" spans="1:11" x14ac:dyDescent="0.3">
      <c r="A353" t="s">
        <v>620</v>
      </c>
      <c r="B353" t="s">
        <v>621</v>
      </c>
      <c r="C353">
        <v>115</v>
      </c>
      <c r="D353" t="s">
        <v>15</v>
      </c>
      <c r="E353" s="1">
        <v>45618</v>
      </c>
      <c r="J353">
        <v>62</v>
      </c>
      <c r="K353">
        <v>89</v>
      </c>
    </row>
    <row r="354" spans="1:11" x14ac:dyDescent="0.3">
      <c r="A354" t="s">
        <v>1552</v>
      </c>
      <c r="B354" t="s">
        <v>1553</v>
      </c>
      <c r="C354">
        <v>101</v>
      </c>
      <c r="D354" t="s">
        <v>90</v>
      </c>
      <c r="E354" s="1">
        <v>44700</v>
      </c>
      <c r="J354">
        <v>55</v>
      </c>
      <c r="K354">
        <v>50</v>
      </c>
    </row>
    <row r="355" spans="1:11" x14ac:dyDescent="0.3">
      <c r="A355" t="s">
        <v>23</v>
      </c>
      <c r="B355" t="s">
        <v>24</v>
      </c>
      <c r="C355">
        <v>95</v>
      </c>
      <c r="D355" t="s">
        <v>25</v>
      </c>
      <c r="E355" s="1">
        <v>45405</v>
      </c>
      <c r="J355">
        <v>91</v>
      </c>
      <c r="K355">
        <v>97</v>
      </c>
    </row>
    <row r="356" spans="1:11" x14ac:dyDescent="0.3">
      <c r="A356" t="s">
        <v>767</v>
      </c>
      <c r="B356" t="s">
        <v>768</v>
      </c>
      <c r="C356">
        <v>129</v>
      </c>
      <c r="D356" t="s">
        <v>28</v>
      </c>
      <c r="E356" s="1">
        <v>44678</v>
      </c>
      <c r="J356">
        <v>71</v>
      </c>
      <c r="K356">
        <v>86</v>
      </c>
    </row>
    <row r="357" spans="1:11" x14ac:dyDescent="0.3">
      <c r="A357" t="s">
        <v>533</v>
      </c>
      <c r="B357" t="s">
        <v>534</v>
      </c>
      <c r="C357">
        <v>83</v>
      </c>
      <c r="D357" t="s">
        <v>25</v>
      </c>
      <c r="E357" s="1">
        <v>44728</v>
      </c>
      <c r="J357">
        <v>80</v>
      </c>
      <c r="K357">
        <v>92</v>
      </c>
    </row>
    <row r="358" spans="1:11" x14ac:dyDescent="0.3">
      <c r="A358" t="s">
        <v>164</v>
      </c>
      <c r="B358" t="s">
        <v>165</v>
      </c>
      <c r="C358">
        <v>118</v>
      </c>
      <c r="D358" t="s">
        <v>25</v>
      </c>
      <c r="E358" s="1">
        <v>45567</v>
      </c>
      <c r="J358">
        <v>93</v>
      </c>
      <c r="K358">
        <v>100</v>
      </c>
    </row>
    <row r="359" spans="1:11" x14ac:dyDescent="0.3">
      <c r="A359" t="s">
        <v>1012</v>
      </c>
      <c r="B359" t="s">
        <v>1013</v>
      </c>
      <c r="C359">
        <v>137</v>
      </c>
      <c r="D359" t="s">
        <v>28</v>
      </c>
      <c r="E359" s="1">
        <v>45723</v>
      </c>
      <c r="J359">
        <v>72</v>
      </c>
      <c r="K359">
        <v>78</v>
      </c>
    </row>
    <row r="360" spans="1:11" x14ac:dyDescent="0.3">
      <c r="A360" t="s">
        <v>606</v>
      </c>
      <c r="B360" t="s">
        <v>607</v>
      </c>
      <c r="C360">
        <v>104</v>
      </c>
      <c r="D360" t="s">
        <v>15</v>
      </c>
      <c r="E360" s="1">
        <v>44953</v>
      </c>
      <c r="J360">
        <v>77</v>
      </c>
      <c r="K360">
        <v>90</v>
      </c>
    </row>
    <row r="361" spans="1:11" x14ac:dyDescent="0.3">
      <c r="A361" t="s">
        <v>826</v>
      </c>
      <c r="B361" t="s">
        <v>827</v>
      </c>
      <c r="C361">
        <v>114</v>
      </c>
      <c r="D361" t="s">
        <v>28</v>
      </c>
      <c r="E361" s="1">
        <v>45750</v>
      </c>
      <c r="G361">
        <v>727</v>
      </c>
      <c r="J361">
        <v>65</v>
      </c>
      <c r="K361">
        <v>84</v>
      </c>
    </row>
    <row r="362" spans="1:11" x14ac:dyDescent="0.3">
      <c r="A362" t="s">
        <v>877</v>
      </c>
      <c r="B362" t="s">
        <v>878</v>
      </c>
      <c r="C362">
        <v>130</v>
      </c>
      <c r="D362" t="s">
        <v>28</v>
      </c>
      <c r="E362" s="1">
        <v>44764</v>
      </c>
      <c r="J362">
        <v>77</v>
      </c>
      <c r="K362">
        <v>83</v>
      </c>
    </row>
    <row r="363" spans="1:11" x14ac:dyDescent="0.3">
      <c r="A363" t="s">
        <v>691</v>
      </c>
      <c r="B363" t="s">
        <v>692</v>
      </c>
      <c r="C363">
        <v>99</v>
      </c>
      <c r="D363" t="s">
        <v>63</v>
      </c>
      <c r="E363" s="1">
        <v>44693</v>
      </c>
      <c r="J363">
        <v>68</v>
      </c>
      <c r="K363">
        <v>88</v>
      </c>
    </row>
    <row r="364" spans="1:11" x14ac:dyDescent="0.3">
      <c r="A364" t="s">
        <v>865</v>
      </c>
      <c r="B364" t="s">
        <v>866</v>
      </c>
      <c r="C364">
        <v>119</v>
      </c>
      <c r="D364" t="s">
        <v>28</v>
      </c>
      <c r="E364" s="1">
        <v>45387</v>
      </c>
      <c r="J364">
        <v>65</v>
      </c>
      <c r="K364">
        <v>83</v>
      </c>
    </row>
    <row r="365" spans="1:11" x14ac:dyDescent="0.3">
      <c r="A365" t="s">
        <v>436</v>
      </c>
      <c r="B365" t="s">
        <v>437</v>
      </c>
      <c r="C365">
        <v>106</v>
      </c>
      <c r="D365" t="s">
        <v>12</v>
      </c>
      <c r="E365" s="1">
        <v>45702</v>
      </c>
      <c r="J365">
        <v>65</v>
      </c>
      <c r="K365">
        <v>93</v>
      </c>
    </row>
    <row r="366" spans="1:11" x14ac:dyDescent="0.3">
      <c r="A366" t="s">
        <v>1730</v>
      </c>
      <c r="B366" t="s">
        <v>1731</v>
      </c>
      <c r="C366">
        <v>125</v>
      </c>
      <c r="D366" t="s">
        <v>15</v>
      </c>
      <c r="E366" s="1">
        <v>44855</v>
      </c>
      <c r="J366">
        <v>41</v>
      </c>
      <c r="K366">
        <v>39</v>
      </c>
    </row>
    <row r="367" spans="1:11" x14ac:dyDescent="0.3">
      <c r="A367" t="s">
        <v>1430</v>
      </c>
      <c r="B367" t="s">
        <v>1431</v>
      </c>
      <c r="C367">
        <v>91</v>
      </c>
      <c r="D367" t="s">
        <v>63</v>
      </c>
      <c r="E367" s="1">
        <v>45699</v>
      </c>
      <c r="J367">
        <v>54</v>
      </c>
      <c r="K367">
        <v>58</v>
      </c>
    </row>
    <row r="368" spans="1:11" x14ac:dyDescent="0.3">
      <c r="A368" t="s">
        <v>1532</v>
      </c>
      <c r="B368" t="s">
        <v>1533</v>
      </c>
      <c r="C368">
        <v>181</v>
      </c>
      <c r="D368" t="s">
        <v>28</v>
      </c>
      <c r="E368" s="1">
        <v>45471</v>
      </c>
      <c r="J368">
        <v>49</v>
      </c>
      <c r="K368">
        <v>51</v>
      </c>
    </row>
    <row r="369" spans="1:11" x14ac:dyDescent="0.3">
      <c r="A369" t="s">
        <v>896</v>
      </c>
      <c r="B369" t="s">
        <v>897</v>
      </c>
      <c r="C369">
        <v>118</v>
      </c>
      <c r="D369" t="s">
        <v>28</v>
      </c>
      <c r="E369" s="1">
        <v>45569</v>
      </c>
      <c r="J369">
        <v>72</v>
      </c>
      <c r="K369">
        <v>82</v>
      </c>
    </row>
    <row r="370" spans="1:11" x14ac:dyDescent="0.3">
      <c r="A370" t="s">
        <v>1380</v>
      </c>
      <c r="B370" t="s">
        <v>1381</v>
      </c>
      <c r="C370">
        <v>128</v>
      </c>
      <c r="D370" t="s">
        <v>28</v>
      </c>
      <c r="E370" s="1">
        <v>44932</v>
      </c>
      <c r="J370">
        <v>56</v>
      </c>
      <c r="K370">
        <v>62</v>
      </c>
    </row>
    <row r="371" spans="1:11" x14ac:dyDescent="0.3">
      <c r="A371" t="s">
        <v>785</v>
      </c>
      <c r="B371" t="s">
        <v>786</v>
      </c>
      <c r="C371">
        <v>104</v>
      </c>
      <c r="D371" t="s">
        <v>28</v>
      </c>
      <c r="E371" s="1">
        <v>45373</v>
      </c>
      <c r="J371">
        <v>68</v>
      </c>
      <c r="K371">
        <v>85</v>
      </c>
    </row>
    <row r="372" spans="1:11" x14ac:dyDescent="0.3">
      <c r="A372" t="s">
        <v>1076</v>
      </c>
      <c r="B372" t="s">
        <v>1077</v>
      </c>
      <c r="C372">
        <v>110</v>
      </c>
      <c r="D372" t="s">
        <v>28</v>
      </c>
      <c r="E372" s="1">
        <v>45457</v>
      </c>
      <c r="J372">
        <v>69</v>
      </c>
      <c r="K372">
        <v>76</v>
      </c>
    </row>
    <row r="373" spans="1:11" x14ac:dyDescent="0.3">
      <c r="A373" t="s">
        <v>1312</v>
      </c>
      <c r="B373" t="s">
        <v>1313</v>
      </c>
      <c r="C373">
        <v>132</v>
      </c>
      <c r="D373" t="s">
        <v>15</v>
      </c>
      <c r="E373" s="1">
        <v>45485</v>
      </c>
      <c r="J373">
        <v>53</v>
      </c>
      <c r="K373">
        <v>66</v>
      </c>
    </row>
    <row r="374" spans="1:11" x14ac:dyDescent="0.3">
      <c r="A374" t="s">
        <v>438</v>
      </c>
      <c r="B374" t="s">
        <v>439</v>
      </c>
      <c r="C374">
        <v>95</v>
      </c>
      <c r="D374" t="s">
        <v>25</v>
      </c>
      <c r="E374" s="1">
        <v>45693</v>
      </c>
      <c r="G374">
        <v>900</v>
      </c>
      <c r="I374">
        <v>15</v>
      </c>
      <c r="J374">
        <v>83</v>
      </c>
      <c r="K374">
        <v>93</v>
      </c>
    </row>
    <row r="375" spans="1:11" x14ac:dyDescent="0.3">
      <c r="A375" s="16" t="s">
        <v>214</v>
      </c>
      <c r="B375" s="16" t="s">
        <v>215</v>
      </c>
      <c r="C375" s="16">
        <v>79</v>
      </c>
      <c r="D375" s="16" t="s">
        <v>160</v>
      </c>
      <c r="E375" s="17">
        <v>44826</v>
      </c>
      <c r="F375" s="16">
        <v>7.8</v>
      </c>
      <c r="G375" s="16">
        <v>1700</v>
      </c>
      <c r="I375">
        <v>20</v>
      </c>
      <c r="J375">
        <v>75</v>
      </c>
      <c r="K375">
        <v>98</v>
      </c>
    </row>
    <row r="376" spans="1:11" x14ac:dyDescent="0.3">
      <c r="A376" s="16" t="s">
        <v>258</v>
      </c>
      <c r="B376" s="16" t="s">
        <v>259</v>
      </c>
      <c r="C376" s="16">
        <v>85</v>
      </c>
      <c r="D376" s="16" t="s">
        <v>12</v>
      </c>
      <c r="E376" s="17">
        <v>44897</v>
      </c>
      <c r="F376" s="16">
        <v>7.5</v>
      </c>
      <c r="G376" s="16">
        <v>1400</v>
      </c>
      <c r="I376">
        <v>25</v>
      </c>
      <c r="J376">
        <v>83</v>
      </c>
      <c r="K376">
        <v>97</v>
      </c>
    </row>
    <row r="377" spans="1:11" x14ac:dyDescent="0.3">
      <c r="A377" t="s">
        <v>968</v>
      </c>
      <c r="B377" t="s">
        <v>969</v>
      </c>
      <c r="C377">
        <v>123</v>
      </c>
      <c r="D377" t="s">
        <v>28</v>
      </c>
      <c r="E377" s="1">
        <v>45737</v>
      </c>
      <c r="G377">
        <v>966</v>
      </c>
      <c r="J377">
        <v>69</v>
      </c>
      <c r="K377">
        <v>80</v>
      </c>
    </row>
    <row r="378" spans="1:11" x14ac:dyDescent="0.3">
      <c r="A378" t="s">
        <v>699</v>
      </c>
      <c r="B378" t="s">
        <v>700</v>
      </c>
      <c r="C378">
        <v>88</v>
      </c>
      <c r="D378" t="s">
        <v>18</v>
      </c>
      <c r="E378" s="1">
        <v>45125</v>
      </c>
      <c r="J378">
        <v>78</v>
      </c>
      <c r="K378">
        <v>87</v>
      </c>
    </row>
    <row r="379" spans="1:11" x14ac:dyDescent="0.3">
      <c r="A379" t="s">
        <v>769</v>
      </c>
      <c r="B379" t="s">
        <v>770</v>
      </c>
      <c r="C379">
        <v>106</v>
      </c>
      <c r="D379" t="s">
        <v>15</v>
      </c>
      <c r="E379" s="1">
        <v>44638</v>
      </c>
      <c r="J379">
        <v>65</v>
      </c>
      <c r="K379">
        <v>86</v>
      </c>
    </row>
    <row r="380" spans="1:11" x14ac:dyDescent="0.3">
      <c r="A380" t="s">
        <v>1766</v>
      </c>
      <c r="B380" t="s">
        <v>1767</v>
      </c>
      <c r="C380">
        <v>105</v>
      </c>
      <c r="D380" t="s">
        <v>632</v>
      </c>
      <c r="E380" s="1">
        <v>44617</v>
      </c>
      <c r="J380">
        <v>42</v>
      </c>
      <c r="K380">
        <v>36</v>
      </c>
    </row>
    <row r="381" spans="1:11" x14ac:dyDescent="0.3">
      <c r="A381" t="s">
        <v>1512</v>
      </c>
      <c r="B381" t="s">
        <v>1513</v>
      </c>
      <c r="C381">
        <v>120</v>
      </c>
      <c r="D381" t="s">
        <v>15</v>
      </c>
      <c r="E381" s="1">
        <v>44981</v>
      </c>
      <c r="J381">
        <v>46</v>
      </c>
      <c r="K381">
        <v>54</v>
      </c>
    </row>
    <row r="382" spans="1:11" x14ac:dyDescent="0.3">
      <c r="A382" t="s">
        <v>521</v>
      </c>
      <c r="B382" t="s">
        <v>522</v>
      </c>
      <c r="C382">
        <v>143</v>
      </c>
      <c r="D382" t="s">
        <v>25</v>
      </c>
      <c r="E382" s="1">
        <v>45097</v>
      </c>
      <c r="J382">
        <v>81</v>
      </c>
      <c r="K382">
        <v>92</v>
      </c>
    </row>
    <row r="383" spans="1:11" x14ac:dyDescent="0.3">
      <c r="A383" t="s">
        <v>1280</v>
      </c>
      <c r="B383" t="s">
        <v>1281</v>
      </c>
      <c r="C383">
        <v>131</v>
      </c>
      <c r="D383" t="s">
        <v>18</v>
      </c>
      <c r="E383" s="1">
        <v>44897</v>
      </c>
      <c r="J383">
        <v>55</v>
      </c>
      <c r="K383">
        <v>68</v>
      </c>
    </row>
    <row r="384" spans="1:11" x14ac:dyDescent="0.3">
      <c r="A384" t="s">
        <v>547</v>
      </c>
      <c r="B384" t="s">
        <v>548</v>
      </c>
      <c r="C384">
        <v>91</v>
      </c>
      <c r="D384" t="s">
        <v>28</v>
      </c>
      <c r="E384" s="1">
        <v>45336</v>
      </c>
      <c r="J384">
        <v>74</v>
      </c>
      <c r="K384">
        <v>91</v>
      </c>
    </row>
    <row r="385" spans="1:11" x14ac:dyDescent="0.3">
      <c r="A385" t="s">
        <v>814</v>
      </c>
      <c r="B385" t="s">
        <v>815</v>
      </c>
      <c r="C385">
        <v>94</v>
      </c>
      <c r="D385" t="s">
        <v>28</v>
      </c>
      <c r="E385" s="1">
        <v>44743</v>
      </c>
      <c r="J385">
        <v>43</v>
      </c>
      <c r="K385">
        <v>85</v>
      </c>
    </row>
    <row r="386" spans="1:11" x14ac:dyDescent="0.3">
      <c r="A386" t="s">
        <v>904</v>
      </c>
      <c r="B386" t="s">
        <v>905</v>
      </c>
      <c r="C386">
        <v>94</v>
      </c>
      <c r="D386" t="s">
        <v>15</v>
      </c>
      <c r="E386" s="1">
        <v>45363</v>
      </c>
      <c r="J386">
        <v>68</v>
      </c>
      <c r="K386">
        <v>82</v>
      </c>
    </row>
    <row r="387" spans="1:11" x14ac:dyDescent="0.3">
      <c r="A387" t="s">
        <v>936</v>
      </c>
      <c r="B387" t="s">
        <v>937</v>
      </c>
      <c r="C387">
        <v>110</v>
      </c>
      <c r="D387" t="s">
        <v>28</v>
      </c>
      <c r="E387" s="1">
        <v>45730</v>
      </c>
      <c r="J387">
        <v>60</v>
      </c>
      <c r="K387">
        <v>81</v>
      </c>
    </row>
    <row r="388" spans="1:11" x14ac:dyDescent="0.3">
      <c r="A388" t="s">
        <v>340</v>
      </c>
      <c r="B388" t="s">
        <v>341</v>
      </c>
      <c r="C388">
        <v>115</v>
      </c>
      <c r="D388" t="s">
        <v>28</v>
      </c>
      <c r="E388" s="1">
        <v>45450</v>
      </c>
      <c r="J388">
        <v>82</v>
      </c>
      <c r="K388">
        <v>95</v>
      </c>
    </row>
    <row r="389" spans="1:11" x14ac:dyDescent="0.3">
      <c r="A389" t="s">
        <v>37</v>
      </c>
      <c r="B389" t="s">
        <v>38</v>
      </c>
      <c r="C389">
        <v>117</v>
      </c>
      <c r="D389" t="s">
        <v>12</v>
      </c>
      <c r="E389" s="1">
        <v>44920</v>
      </c>
      <c r="J389">
        <v>72</v>
      </c>
      <c r="K389">
        <v>93</v>
      </c>
    </row>
    <row r="390" spans="1:11" x14ac:dyDescent="0.3">
      <c r="A390" t="s">
        <v>794</v>
      </c>
      <c r="B390" t="s">
        <v>795</v>
      </c>
      <c r="C390">
        <v>106</v>
      </c>
      <c r="D390" t="s">
        <v>28</v>
      </c>
      <c r="E390" s="1">
        <v>45205</v>
      </c>
      <c r="J390">
        <v>62</v>
      </c>
      <c r="K390">
        <v>85</v>
      </c>
    </row>
    <row r="391" spans="1:11" x14ac:dyDescent="0.3">
      <c r="A391" t="s">
        <v>1516</v>
      </c>
      <c r="B391" t="s">
        <v>1517</v>
      </c>
      <c r="C391">
        <v>103</v>
      </c>
      <c r="D391" t="s">
        <v>28</v>
      </c>
      <c r="E391" s="1">
        <v>45282</v>
      </c>
      <c r="J391">
        <v>52</v>
      </c>
      <c r="K391">
        <v>53</v>
      </c>
    </row>
    <row r="392" spans="1:11" x14ac:dyDescent="0.3">
      <c r="A392" t="s">
        <v>1018</v>
      </c>
      <c r="B392" t="s">
        <v>1019</v>
      </c>
      <c r="C392">
        <v>125</v>
      </c>
      <c r="D392" t="s">
        <v>18</v>
      </c>
      <c r="E392" s="1">
        <v>45576</v>
      </c>
      <c r="J392">
        <v>62</v>
      </c>
      <c r="K392">
        <v>78</v>
      </c>
    </row>
    <row r="393" spans="1:11" x14ac:dyDescent="0.3">
      <c r="A393" t="s">
        <v>721</v>
      </c>
      <c r="B393" t="s">
        <v>722</v>
      </c>
      <c r="C393">
        <v>107</v>
      </c>
      <c r="D393" t="s">
        <v>28</v>
      </c>
      <c r="E393" s="1">
        <v>44673</v>
      </c>
      <c r="J393">
        <v>68</v>
      </c>
      <c r="K393">
        <v>87</v>
      </c>
    </row>
    <row r="394" spans="1:11" x14ac:dyDescent="0.3">
      <c r="A394" t="s">
        <v>584</v>
      </c>
      <c r="B394" t="s">
        <v>585</v>
      </c>
      <c r="C394">
        <v>89</v>
      </c>
      <c r="D394" t="s">
        <v>28</v>
      </c>
      <c r="E394" s="1">
        <v>45562</v>
      </c>
      <c r="J394">
        <v>74</v>
      </c>
      <c r="K394">
        <v>90</v>
      </c>
    </row>
    <row r="395" spans="1:11" x14ac:dyDescent="0.3">
      <c r="A395" t="s">
        <v>711</v>
      </c>
      <c r="B395" t="s">
        <v>712</v>
      </c>
      <c r="C395">
        <v>142</v>
      </c>
      <c r="D395" t="s">
        <v>18</v>
      </c>
      <c r="E395" s="1">
        <v>44762</v>
      </c>
      <c r="J395">
        <v>54</v>
      </c>
      <c r="K395">
        <v>87</v>
      </c>
    </row>
    <row r="396" spans="1:11" x14ac:dyDescent="0.3">
      <c r="A396" t="s">
        <v>1456</v>
      </c>
      <c r="B396" t="s">
        <v>1457</v>
      </c>
      <c r="C396">
        <v>102</v>
      </c>
      <c r="D396" t="s">
        <v>63</v>
      </c>
      <c r="E396" s="1">
        <v>44622</v>
      </c>
      <c r="J396">
        <v>49</v>
      </c>
      <c r="K396">
        <v>57</v>
      </c>
    </row>
    <row r="397" spans="1:11" x14ac:dyDescent="0.3">
      <c r="A397" t="s">
        <v>1112</v>
      </c>
      <c r="B397" t="s">
        <v>1113</v>
      </c>
      <c r="C397">
        <v>122</v>
      </c>
      <c r="D397" t="s">
        <v>15</v>
      </c>
      <c r="E397" s="1">
        <v>45492</v>
      </c>
      <c r="J397">
        <v>65</v>
      </c>
      <c r="K397">
        <v>75</v>
      </c>
    </row>
    <row r="398" spans="1:11" x14ac:dyDescent="0.3">
      <c r="A398" t="s">
        <v>392</v>
      </c>
      <c r="B398" t="s">
        <v>393</v>
      </c>
      <c r="C398">
        <v>97</v>
      </c>
      <c r="D398" t="s">
        <v>18</v>
      </c>
      <c r="E398" s="1">
        <v>45380</v>
      </c>
      <c r="J398">
        <v>80</v>
      </c>
      <c r="K398">
        <v>94</v>
      </c>
    </row>
    <row r="399" spans="1:11" x14ac:dyDescent="0.3">
      <c r="A399" t="s">
        <v>276</v>
      </c>
      <c r="B399" t="s">
        <v>277</v>
      </c>
      <c r="C399">
        <v>90</v>
      </c>
      <c r="D399" t="s">
        <v>28</v>
      </c>
      <c r="E399" s="1">
        <v>45597</v>
      </c>
      <c r="J399">
        <v>85</v>
      </c>
      <c r="K399">
        <v>96</v>
      </c>
    </row>
    <row r="400" spans="1:11" x14ac:dyDescent="0.3">
      <c r="A400" t="s">
        <v>592</v>
      </c>
      <c r="B400" t="s">
        <v>593</v>
      </c>
      <c r="C400">
        <v>108</v>
      </c>
      <c r="D400" t="s">
        <v>15</v>
      </c>
      <c r="E400" s="1">
        <v>45401</v>
      </c>
      <c r="G400">
        <v>1100</v>
      </c>
      <c r="I400">
        <v>35</v>
      </c>
      <c r="J400">
        <v>70</v>
      </c>
      <c r="K400">
        <v>90</v>
      </c>
    </row>
    <row r="401" spans="1:11" x14ac:dyDescent="0.3">
      <c r="A401" t="s">
        <v>1746</v>
      </c>
      <c r="B401" t="s">
        <v>1747</v>
      </c>
      <c r="C401">
        <v>123</v>
      </c>
      <c r="D401" t="s">
        <v>28</v>
      </c>
      <c r="E401" s="1">
        <v>44827</v>
      </c>
      <c r="J401">
        <v>48</v>
      </c>
      <c r="K401">
        <v>38</v>
      </c>
    </row>
    <row r="402" spans="1:11" x14ac:dyDescent="0.3">
      <c r="A402" t="s">
        <v>1627</v>
      </c>
      <c r="B402" t="s">
        <v>1628</v>
      </c>
      <c r="C402">
        <v>119</v>
      </c>
      <c r="D402" t="s">
        <v>28</v>
      </c>
      <c r="E402" s="1">
        <v>45072</v>
      </c>
      <c r="J402">
        <v>52</v>
      </c>
      <c r="K402">
        <v>45</v>
      </c>
    </row>
    <row r="403" spans="1:11" x14ac:dyDescent="0.3">
      <c r="A403" t="s">
        <v>1110</v>
      </c>
      <c r="B403" t="s">
        <v>1111</v>
      </c>
      <c r="C403">
        <v>120</v>
      </c>
      <c r="D403" t="s">
        <v>28</v>
      </c>
      <c r="E403" s="1">
        <v>45520</v>
      </c>
      <c r="J403">
        <v>61</v>
      </c>
      <c r="K403">
        <v>75</v>
      </c>
    </row>
    <row r="404" spans="1:11" x14ac:dyDescent="0.3">
      <c r="A404" t="s">
        <v>118</v>
      </c>
      <c r="B404" t="s">
        <v>119</v>
      </c>
      <c r="C404">
        <v>118</v>
      </c>
      <c r="D404" t="s">
        <v>28</v>
      </c>
      <c r="E404" s="1">
        <v>45149</v>
      </c>
      <c r="J404">
        <v>52</v>
      </c>
      <c r="K404">
        <v>50</v>
      </c>
    </row>
    <row r="405" spans="1:11" x14ac:dyDescent="0.3">
      <c r="A405" t="s">
        <v>974</v>
      </c>
      <c r="B405" t="s">
        <v>975</v>
      </c>
      <c r="C405">
        <v>107</v>
      </c>
      <c r="D405" t="s">
        <v>15</v>
      </c>
      <c r="E405" s="1">
        <v>45583</v>
      </c>
      <c r="J405">
        <v>70</v>
      </c>
      <c r="K405">
        <v>80</v>
      </c>
    </row>
    <row r="406" spans="1:11" x14ac:dyDescent="0.3">
      <c r="A406" t="s">
        <v>1454</v>
      </c>
      <c r="B406" t="s">
        <v>1455</v>
      </c>
      <c r="C406">
        <v>113</v>
      </c>
      <c r="D406" t="s">
        <v>28</v>
      </c>
      <c r="E406" s="1">
        <v>44785</v>
      </c>
      <c r="J406">
        <v>51</v>
      </c>
      <c r="K406">
        <v>57</v>
      </c>
    </row>
    <row r="407" spans="1:11" x14ac:dyDescent="0.3">
      <c r="A407" t="s">
        <v>1855</v>
      </c>
      <c r="B407" t="s">
        <v>1856</v>
      </c>
      <c r="C407">
        <v>123</v>
      </c>
      <c r="D407" t="s">
        <v>15</v>
      </c>
      <c r="E407" s="1">
        <v>44946</v>
      </c>
      <c r="J407">
        <v>45</v>
      </c>
      <c r="K407">
        <v>29</v>
      </c>
    </row>
    <row r="408" spans="1:11" x14ac:dyDescent="0.3">
      <c r="A408" t="s">
        <v>1845</v>
      </c>
      <c r="B408" t="s">
        <v>1846</v>
      </c>
      <c r="C408">
        <v>104</v>
      </c>
      <c r="D408" t="s">
        <v>15</v>
      </c>
      <c r="E408" s="1">
        <v>45051</v>
      </c>
      <c r="J408">
        <v>32</v>
      </c>
      <c r="K408">
        <v>30</v>
      </c>
    </row>
    <row r="409" spans="1:11" x14ac:dyDescent="0.3">
      <c r="A409" t="s">
        <v>1206</v>
      </c>
      <c r="B409" t="s">
        <v>1207</v>
      </c>
      <c r="C409">
        <v>87</v>
      </c>
      <c r="D409" t="s">
        <v>160</v>
      </c>
      <c r="E409" s="1">
        <v>45723</v>
      </c>
      <c r="J409">
        <v>61</v>
      </c>
      <c r="K409">
        <v>71</v>
      </c>
    </row>
    <row r="410" spans="1:11" x14ac:dyDescent="0.3">
      <c r="A410" t="s">
        <v>1863</v>
      </c>
      <c r="B410" t="s">
        <v>792</v>
      </c>
      <c r="C410">
        <v>114</v>
      </c>
      <c r="D410" t="s">
        <v>28</v>
      </c>
      <c r="E410" s="1">
        <v>44680</v>
      </c>
      <c r="J410">
        <v>41</v>
      </c>
      <c r="K410">
        <v>29</v>
      </c>
    </row>
    <row r="411" spans="1:11" x14ac:dyDescent="0.3">
      <c r="A411" t="s">
        <v>1825</v>
      </c>
      <c r="B411" t="s">
        <v>1826</v>
      </c>
      <c r="C411">
        <v>122</v>
      </c>
      <c r="D411" t="s">
        <v>15</v>
      </c>
      <c r="E411" s="1">
        <v>45149</v>
      </c>
      <c r="J411">
        <v>44</v>
      </c>
      <c r="K411">
        <v>31</v>
      </c>
    </row>
    <row r="412" spans="1:11" x14ac:dyDescent="0.3">
      <c r="A412" t="s">
        <v>1424</v>
      </c>
      <c r="B412" t="s">
        <v>1425</v>
      </c>
      <c r="C412">
        <v>124</v>
      </c>
      <c r="D412" t="s">
        <v>15</v>
      </c>
      <c r="E412" s="1">
        <v>44995</v>
      </c>
      <c r="J412">
        <v>50</v>
      </c>
      <c r="K412">
        <v>59</v>
      </c>
    </row>
    <row r="413" spans="1:11" x14ac:dyDescent="0.3">
      <c r="A413" t="s">
        <v>432</v>
      </c>
      <c r="B413" t="s">
        <v>433</v>
      </c>
      <c r="C413">
        <v>105</v>
      </c>
      <c r="D413" t="s">
        <v>28</v>
      </c>
      <c r="E413" s="1">
        <v>44638</v>
      </c>
      <c r="J413">
        <v>80</v>
      </c>
      <c r="K413">
        <v>94</v>
      </c>
    </row>
    <row r="414" spans="1:11" x14ac:dyDescent="0.3">
      <c r="A414" t="s">
        <v>838</v>
      </c>
      <c r="B414" t="s">
        <v>839</v>
      </c>
      <c r="C414">
        <v>113</v>
      </c>
      <c r="D414" t="s">
        <v>28</v>
      </c>
      <c r="E414" s="1">
        <v>45233</v>
      </c>
      <c r="J414">
        <v>79</v>
      </c>
      <c r="K414">
        <v>84</v>
      </c>
    </row>
    <row r="415" spans="1:11" x14ac:dyDescent="0.3">
      <c r="A415" t="s">
        <v>614</v>
      </c>
      <c r="B415" t="s">
        <v>615</v>
      </c>
      <c r="C415">
        <v>106</v>
      </c>
      <c r="D415" t="s">
        <v>28</v>
      </c>
      <c r="E415" s="1">
        <v>45744</v>
      </c>
      <c r="G415">
        <v>878</v>
      </c>
      <c r="J415">
        <v>63</v>
      </c>
      <c r="K415">
        <v>89</v>
      </c>
    </row>
    <row r="416" spans="1:11" x14ac:dyDescent="0.3">
      <c r="A416" t="s">
        <v>1146</v>
      </c>
      <c r="B416" t="s">
        <v>1147</v>
      </c>
      <c r="C416">
        <v>140</v>
      </c>
      <c r="D416" t="s">
        <v>15</v>
      </c>
      <c r="E416" s="1">
        <v>45723</v>
      </c>
      <c r="G416">
        <v>870</v>
      </c>
      <c r="I416">
        <v>56</v>
      </c>
      <c r="J416">
        <v>65</v>
      </c>
      <c r="K416">
        <v>73</v>
      </c>
    </row>
    <row r="417" spans="1:11" x14ac:dyDescent="0.3">
      <c r="A417" t="s">
        <v>1434</v>
      </c>
      <c r="B417" t="s">
        <v>1435</v>
      </c>
      <c r="C417">
        <v>111</v>
      </c>
      <c r="D417" t="s">
        <v>28</v>
      </c>
      <c r="E417" s="1">
        <v>45408</v>
      </c>
      <c r="J417">
        <v>47</v>
      </c>
      <c r="K417">
        <v>58</v>
      </c>
    </row>
    <row r="418" spans="1:11" x14ac:dyDescent="0.3">
      <c r="A418" t="s">
        <v>775</v>
      </c>
      <c r="B418" t="s">
        <v>776</v>
      </c>
      <c r="C418">
        <v>132</v>
      </c>
      <c r="D418" t="s">
        <v>28</v>
      </c>
      <c r="E418" s="1">
        <v>45651</v>
      </c>
      <c r="J418">
        <v>78</v>
      </c>
      <c r="K418">
        <v>85</v>
      </c>
    </row>
    <row r="419" spans="1:11" x14ac:dyDescent="0.3">
      <c r="A419" t="s">
        <v>798</v>
      </c>
      <c r="B419" t="s">
        <v>799</v>
      </c>
      <c r="C419">
        <v>103</v>
      </c>
      <c r="D419" t="s">
        <v>25</v>
      </c>
      <c r="E419" s="1">
        <v>45058</v>
      </c>
      <c r="J419">
        <v>68</v>
      </c>
      <c r="K419">
        <v>85</v>
      </c>
    </row>
    <row r="420" spans="1:11" x14ac:dyDescent="0.3">
      <c r="A420" t="s">
        <v>1308</v>
      </c>
      <c r="B420" t="s">
        <v>1309</v>
      </c>
      <c r="C420">
        <v>133</v>
      </c>
      <c r="D420" t="s">
        <v>15</v>
      </c>
      <c r="E420" s="1">
        <v>45618</v>
      </c>
      <c r="J420">
        <v>43</v>
      </c>
      <c r="K420">
        <v>66</v>
      </c>
    </row>
    <row r="421" spans="1:11" x14ac:dyDescent="0.3">
      <c r="A421" t="s">
        <v>806</v>
      </c>
      <c r="B421" t="s">
        <v>807</v>
      </c>
      <c r="C421">
        <v>108</v>
      </c>
      <c r="D421" t="s">
        <v>90</v>
      </c>
      <c r="E421" s="1">
        <v>44869</v>
      </c>
      <c r="J421">
        <v>70</v>
      </c>
      <c r="K421">
        <v>85</v>
      </c>
    </row>
    <row r="422" spans="1:11" x14ac:dyDescent="0.3">
      <c r="A422" t="s">
        <v>1548</v>
      </c>
      <c r="B422" t="s">
        <v>1549</v>
      </c>
      <c r="C422">
        <v>107</v>
      </c>
      <c r="D422" t="s">
        <v>28</v>
      </c>
      <c r="E422" s="1">
        <v>45352</v>
      </c>
      <c r="J422">
        <v>55</v>
      </c>
      <c r="K422">
        <v>50</v>
      </c>
    </row>
    <row r="423" spans="1:11" x14ac:dyDescent="0.3">
      <c r="A423" t="s">
        <v>1296</v>
      </c>
      <c r="B423" t="s">
        <v>1297</v>
      </c>
      <c r="C423">
        <v>179</v>
      </c>
      <c r="D423" t="s">
        <v>28</v>
      </c>
      <c r="E423" s="1">
        <v>45037</v>
      </c>
      <c r="J423">
        <v>63</v>
      </c>
      <c r="K423">
        <v>67</v>
      </c>
    </row>
    <row r="424" spans="1:11" x14ac:dyDescent="0.3">
      <c r="A424" t="s">
        <v>250</v>
      </c>
      <c r="B424" t="s">
        <v>251</v>
      </c>
      <c r="C424">
        <v>117</v>
      </c>
      <c r="D424" t="s">
        <v>15</v>
      </c>
      <c r="E424" s="1">
        <v>45204</v>
      </c>
      <c r="G424">
        <v>1200</v>
      </c>
      <c r="I424">
        <v>19</v>
      </c>
      <c r="J424">
        <v>76</v>
      </c>
      <c r="K424">
        <v>97</v>
      </c>
    </row>
    <row r="425" spans="1:11" x14ac:dyDescent="0.3">
      <c r="A425" t="s">
        <v>192</v>
      </c>
      <c r="B425" t="s">
        <v>193</v>
      </c>
      <c r="C425">
        <v>73</v>
      </c>
      <c r="D425" t="s">
        <v>28</v>
      </c>
      <c r="E425" s="1">
        <v>45135</v>
      </c>
      <c r="G425">
        <v>1400</v>
      </c>
      <c r="I425">
        <v>21</v>
      </c>
      <c r="J425">
        <v>79</v>
      </c>
      <c r="K425">
        <v>99</v>
      </c>
    </row>
    <row r="426" spans="1:11" x14ac:dyDescent="0.3">
      <c r="A426" t="s">
        <v>384</v>
      </c>
      <c r="B426" t="s">
        <v>385</v>
      </c>
      <c r="C426">
        <v>107</v>
      </c>
      <c r="D426" t="s">
        <v>28</v>
      </c>
      <c r="E426" s="1">
        <v>45450</v>
      </c>
      <c r="G426">
        <v>1100</v>
      </c>
      <c r="I426">
        <v>23</v>
      </c>
      <c r="J426">
        <v>80</v>
      </c>
      <c r="K426">
        <v>94</v>
      </c>
    </row>
    <row r="427" spans="1:11" x14ac:dyDescent="0.3">
      <c r="A427" t="s">
        <v>537</v>
      </c>
      <c r="B427" t="s">
        <v>538</v>
      </c>
      <c r="C427">
        <v>99</v>
      </c>
      <c r="D427" t="s">
        <v>28</v>
      </c>
      <c r="E427" s="1">
        <v>45583</v>
      </c>
      <c r="G427">
        <v>1400</v>
      </c>
      <c r="I427">
        <v>26</v>
      </c>
      <c r="J427">
        <v>71</v>
      </c>
      <c r="K427">
        <v>91</v>
      </c>
    </row>
    <row r="428" spans="1:11" x14ac:dyDescent="0.3">
      <c r="A428" t="s">
        <v>408</v>
      </c>
      <c r="B428" t="s">
        <v>409</v>
      </c>
      <c r="C428">
        <v>101</v>
      </c>
      <c r="D428" t="s">
        <v>63</v>
      </c>
      <c r="E428" s="1">
        <v>45050</v>
      </c>
      <c r="I428">
        <v>29</v>
      </c>
      <c r="J428">
        <v>81</v>
      </c>
      <c r="K428">
        <v>94</v>
      </c>
    </row>
    <row r="429" spans="1:11" x14ac:dyDescent="0.3">
      <c r="A429" t="s">
        <v>178</v>
      </c>
      <c r="B429" t="s">
        <v>179</v>
      </c>
      <c r="C429">
        <v>113</v>
      </c>
      <c r="D429" t="s">
        <v>15</v>
      </c>
      <c r="E429" s="1">
        <v>45205</v>
      </c>
      <c r="I429">
        <v>31</v>
      </c>
      <c r="J429">
        <v>72</v>
      </c>
      <c r="K429">
        <v>100</v>
      </c>
    </row>
    <row r="430" spans="1:11" x14ac:dyDescent="0.3">
      <c r="A430" t="s">
        <v>466</v>
      </c>
      <c r="B430" t="s">
        <v>467</v>
      </c>
      <c r="C430">
        <v>93</v>
      </c>
      <c r="D430" t="s">
        <v>12</v>
      </c>
      <c r="E430" s="1">
        <v>45210</v>
      </c>
      <c r="G430">
        <v>1200</v>
      </c>
      <c r="I430">
        <v>34</v>
      </c>
      <c r="J430">
        <v>76</v>
      </c>
      <c r="K430">
        <v>93</v>
      </c>
    </row>
    <row r="431" spans="1:11" x14ac:dyDescent="0.3">
      <c r="A431" t="s">
        <v>35</v>
      </c>
      <c r="B431" t="s">
        <v>36</v>
      </c>
      <c r="C431">
        <v>95</v>
      </c>
      <c r="D431" t="s">
        <v>18</v>
      </c>
      <c r="E431" s="1">
        <v>44624</v>
      </c>
      <c r="J431">
        <v>75</v>
      </c>
      <c r="K431">
        <v>94</v>
      </c>
    </row>
    <row r="432" spans="1:11" x14ac:dyDescent="0.3">
      <c r="A432" t="s">
        <v>1252</v>
      </c>
      <c r="B432" t="s">
        <v>1253</v>
      </c>
      <c r="C432">
        <v>113</v>
      </c>
      <c r="D432" t="s">
        <v>28</v>
      </c>
      <c r="E432" s="1">
        <v>44869</v>
      </c>
      <c r="J432">
        <v>59</v>
      </c>
      <c r="K432">
        <v>69</v>
      </c>
    </row>
    <row r="433" spans="1:11" x14ac:dyDescent="0.3">
      <c r="A433" t="s">
        <v>970</v>
      </c>
      <c r="B433" t="s">
        <v>971</v>
      </c>
      <c r="C433">
        <v>90</v>
      </c>
      <c r="D433" t="s">
        <v>28</v>
      </c>
      <c r="E433" s="1">
        <v>45612</v>
      </c>
      <c r="J433">
        <v>65</v>
      </c>
      <c r="K433">
        <v>80</v>
      </c>
    </row>
    <row r="434" spans="1:11" x14ac:dyDescent="0.3">
      <c r="A434" t="s">
        <v>1186</v>
      </c>
      <c r="B434" t="s">
        <v>1187</v>
      </c>
      <c r="C434">
        <v>87</v>
      </c>
      <c r="D434" t="s">
        <v>12</v>
      </c>
      <c r="E434" s="1">
        <v>44904</v>
      </c>
      <c r="J434">
        <v>46</v>
      </c>
      <c r="K434">
        <v>72</v>
      </c>
    </row>
    <row r="435" spans="1:11" x14ac:dyDescent="0.3">
      <c r="A435" t="s">
        <v>108</v>
      </c>
      <c r="B435" t="s">
        <v>109</v>
      </c>
      <c r="C435">
        <v>120</v>
      </c>
      <c r="D435" t="s">
        <v>28</v>
      </c>
      <c r="E435" s="1">
        <v>45750</v>
      </c>
      <c r="G435">
        <v>819</v>
      </c>
      <c r="J435">
        <v>60</v>
      </c>
      <c r="K435">
        <v>58</v>
      </c>
    </row>
    <row r="436" spans="1:11" x14ac:dyDescent="0.3">
      <c r="A436" t="s">
        <v>707</v>
      </c>
      <c r="B436" t="s">
        <v>708</v>
      </c>
      <c r="C436">
        <v>138</v>
      </c>
      <c r="D436" t="s">
        <v>18</v>
      </c>
      <c r="E436" s="1">
        <v>44840</v>
      </c>
      <c r="J436">
        <v>59</v>
      </c>
      <c r="K436">
        <v>87</v>
      </c>
    </row>
    <row r="437" spans="1:11" x14ac:dyDescent="0.3">
      <c r="A437" t="s">
        <v>1698</v>
      </c>
      <c r="B437" t="s">
        <v>1699</v>
      </c>
      <c r="C437">
        <v>110</v>
      </c>
      <c r="D437" t="s">
        <v>15</v>
      </c>
      <c r="E437" s="1">
        <v>45590</v>
      </c>
      <c r="J437">
        <v>41</v>
      </c>
      <c r="K437">
        <v>40</v>
      </c>
    </row>
    <row r="438" spans="1:11" x14ac:dyDescent="0.3">
      <c r="A438" t="s">
        <v>956</v>
      </c>
      <c r="B438" t="s">
        <v>957</v>
      </c>
      <c r="C438">
        <v>99</v>
      </c>
      <c r="D438" t="s">
        <v>28</v>
      </c>
      <c r="E438" s="1">
        <v>45105</v>
      </c>
      <c r="J438">
        <v>55</v>
      </c>
      <c r="K438">
        <v>81</v>
      </c>
    </row>
    <row r="439" spans="1:11" x14ac:dyDescent="0.3">
      <c r="A439" t="s">
        <v>1579</v>
      </c>
      <c r="B439" t="s">
        <v>1580</v>
      </c>
      <c r="C439">
        <v>137</v>
      </c>
      <c r="D439" t="s">
        <v>28</v>
      </c>
      <c r="E439" s="1">
        <v>45589</v>
      </c>
      <c r="J439">
        <v>52</v>
      </c>
      <c r="K439">
        <v>47</v>
      </c>
    </row>
    <row r="440" spans="1:11" x14ac:dyDescent="0.3">
      <c r="A440" t="s">
        <v>134</v>
      </c>
      <c r="B440" t="s">
        <v>135</v>
      </c>
      <c r="C440">
        <v>119</v>
      </c>
      <c r="D440" t="s">
        <v>12</v>
      </c>
      <c r="E440" s="1">
        <v>44883</v>
      </c>
      <c r="J440">
        <v>50</v>
      </c>
      <c r="K440">
        <v>38</v>
      </c>
    </row>
    <row r="441" spans="1:11" x14ac:dyDescent="0.3">
      <c r="A441" t="s">
        <v>1514</v>
      </c>
      <c r="B441" t="s">
        <v>1515</v>
      </c>
      <c r="C441">
        <v>134</v>
      </c>
      <c r="D441" t="s">
        <v>25</v>
      </c>
      <c r="E441" s="1">
        <v>44820</v>
      </c>
      <c r="J441">
        <v>42</v>
      </c>
      <c r="K441">
        <v>54</v>
      </c>
    </row>
    <row r="442" spans="1:11" x14ac:dyDescent="0.3">
      <c r="A442" t="s">
        <v>368</v>
      </c>
      <c r="B442" t="s">
        <v>369</v>
      </c>
      <c r="C442">
        <v>81</v>
      </c>
      <c r="D442" t="s">
        <v>12</v>
      </c>
      <c r="E442" s="1">
        <v>44838</v>
      </c>
      <c r="I442">
        <v>50</v>
      </c>
      <c r="J442">
        <v>78</v>
      </c>
      <c r="K442">
        <v>95</v>
      </c>
    </row>
    <row r="443" spans="1:11" x14ac:dyDescent="0.3">
      <c r="A443" t="s">
        <v>1038</v>
      </c>
      <c r="B443" t="s">
        <v>1039</v>
      </c>
      <c r="C443">
        <v>109</v>
      </c>
      <c r="D443" t="s">
        <v>28</v>
      </c>
      <c r="E443" s="1">
        <v>45576</v>
      </c>
      <c r="J443">
        <v>60</v>
      </c>
      <c r="K443">
        <v>77</v>
      </c>
    </row>
    <row r="444" spans="1:11" x14ac:dyDescent="0.3">
      <c r="A444" t="s">
        <v>1108</v>
      </c>
      <c r="B444" t="s">
        <v>1109</v>
      </c>
      <c r="C444">
        <v>102</v>
      </c>
      <c r="D444" t="s">
        <v>28</v>
      </c>
      <c r="E444" s="1">
        <v>45527</v>
      </c>
      <c r="J444">
        <v>66</v>
      </c>
      <c r="K444">
        <v>75</v>
      </c>
    </row>
    <row r="445" spans="1:11" x14ac:dyDescent="0.3">
      <c r="A445" t="s">
        <v>1220</v>
      </c>
      <c r="B445" t="s">
        <v>1221</v>
      </c>
      <c r="C445">
        <v>103</v>
      </c>
      <c r="D445" t="s">
        <v>28</v>
      </c>
      <c r="E445" s="1">
        <v>45100</v>
      </c>
      <c r="J445">
        <v>59</v>
      </c>
      <c r="K445">
        <v>71</v>
      </c>
    </row>
    <row r="446" spans="1:11" x14ac:dyDescent="0.3">
      <c r="A446" t="s">
        <v>873</v>
      </c>
      <c r="B446" t="s">
        <v>874</v>
      </c>
      <c r="C446">
        <v>93</v>
      </c>
      <c r="D446" t="s">
        <v>15</v>
      </c>
      <c r="E446" s="1">
        <v>45191</v>
      </c>
      <c r="J446">
        <v>60</v>
      </c>
      <c r="K446">
        <v>83</v>
      </c>
    </row>
    <row r="447" spans="1:11" x14ac:dyDescent="0.3">
      <c r="A447" t="s">
        <v>1166</v>
      </c>
      <c r="B447" t="s">
        <v>1167</v>
      </c>
      <c r="C447">
        <v>93</v>
      </c>
      <c r="D447" t="s">
        <v>12</v>
      </c>
      <c r="E447" s="1">
        <v>44911</v>
      </c>
      <c r="J447">
        <v>53</v>
      </c>
      <c r="K447">
        <v>73</v>
      </c>
    </row>
    <row r="448" spans="1:11" x14ac:dyDescent="0.3">
      <c r="A448" t="s">
        <v>484</v>
      </c>
      <c r="B448" t="s">
        <v>485</v>
      </c>
      <c r="C448">
        <v>97</v>
      </c>
      <c r="D448" t="s">
        <v>28</v>
      </c>
      <c r="E448" s="1">
        <v>44785</v>
      </c>
      <c r="J448">
        <v>75</v>
      </c>
      <c r="K448">
        <v>93</v>
      </c>
    </row>
    <row r="449" spans="1:11" x14ac:dyDescent="0.3">
      <c r="A449" t="s">
        <v>1002</v>
      </c>
      <c r="B449" t="s">
        <v>1003</v>
      </c>
      <c r="C449">
        <v>116</v>
      </c>
      <c r="D449" t="s">
        <v>28</v>
      </c>
      <c r="E449" s="1">
        <v>45464</v>
      </c>
      <c r="J449">
        <v>70</v>
      </c>
      <c r="K449">
        <v>79</v>
      </c>
    </row>
    <row r="450" spans="1:11" x14ac:dyDescent="0.3">
      <c r="A450" t="s">
        <v>1635</v>
      </c>
      <c r="B450" t="s">
        <v>1636</v>
      </c>
      <c r="C450">
        <v>134</v>
      </c>
      <c r="D450" t="s">
        <v>28</v>
      </c>
      <c r="E450" s="1">
        <v>45198</v>
      </c>
      <c r="J450">
        <v>52</v>
      </c>
      <c r="K450">
        <v>44</v>
      </c>
    </row>
    <row r="451" spans="1:11" x14ac:dyDescent="0.3">
      <c r="A451" t="s">
        <v>1966</v>
      </c>
      <c r="B451" t="s">
        <v>1967</v>
      </c>
      <c r="C451">
        <v>118</v>
      </c>
      <c r="D451" t="s">
        <v>15</v>
      </c>
      <c r="E451" s="1">
        <v>45436</v>
      </c>
      <c r="J451">
        <v>37</v>
      </c>
      <c r="K451">
        <v>18</v>
      </c>
    </row>
    <row r="452" spans="1:11" x14ac:dyDescent="0.3">
      <c r="A452" t="s">
        <v>863</v>
      </c>
      <c r="B452" t="s">
        <v>864</v>
      </c>
      <c r="C452">
        <v>109</v>
      </c>
      <c r="D452" t="s">
        <v>28</v>
      </c>
      <c r="E452" s="1">
        <v>45401</v>
      </c>
      <c r="J452">
        <v>62</v>
      </c>
      <c r="K452">
        <v>83</v>
      </c>
    </row>
    <row r="453" spans="1:11" x14ac:dyDescent="0.3">
      <c r="A453" t="s">
        <v>757</v>
      </c>
      <c r="B453" t="s">
        <v>758</v>
      </c>
      <c r="C453">
        <v>126</v>
      </c>
      <c r="D453" t="s">
        <v>28</v>
      </c>
      <c r="E453" s="1">
        <v>44897</v>
      </c>
      <c r="J453">
        <v>67</v>
      </c>
      <c r="K453">
        <v>86</v>
      </c>
    </row>
    <row r="454" spans="1:11" x14ac:dyDescent="0.3">
      <c r="A454" t="s">
        <v>685</v>
      </c>
      <c r="B454" t="s">
        <v>686</v>
      </c>
      <c r="C454">
        <v>115</v>
      </c>
      <c r="D454" t="s">
        <v>28</v>
      </c>
      <c r="E454" s="1">
        <v>44834</v>
      </c>
      <c r="J454">
        <v>72</v>
      </c>
      <c r="K454">
        <v>88</v>
      </c>
    </row>
    <row r="455" spans="1:11" x14ac:dyDescent="0.3">
      <c r="A455" t="s">
        <v>840</v>
      </c>
      <c r="B455" t="s">
        <v>841</v>
      </c>
      <c r="C455">
        <v>105</v>
      </c>
      <c r="D455" t="s">
        <v>28</v>
      </c>
      <c r="E455" s="1">
        <v>45198</v>
      </c>
      <c r="J455">
        <v>66</v>
      </c>
      <c r="K455">
        <v>84</v>
      </c>
    </row>
    <row r="456" spans="1:11" x14ac:dyDescent="0.3">
      <c r="A456" t="s">
        <v>404</v>
      </c>
      <c r="B456" t="s">
        <v>405</v>
      </c>
      <c r="C456">
        <v>84</v>
      </c>
      <c r="D456" t="s">
        <v>18</v>
      </c>
      <c r="E456" s="1">
        <v>45163</v>
      </c>
      <c r="J456">
        <v>74</v>
      </c>
      <c r="K456">
        <v>94</v>
      </c>
    </row>
    <row r="457" spans="1:11" x14ac:dyDescent="0.3">
      <c r="A457" t="s">
        <v>1853</v>
      </c>
      <c r="B457" t="s">
        <v>1854</v>
      </c>
      <c r="C457">
        <v>110</v>
      </c>
      <c r="D457" t="s">
        <v>15</v>
      </c>
      <c r="E457" s="1">
        <v>45047</v>
      </c>
      <c r="J457">
        <v>37</v>
      </c>
      <c r="K457">
        <v>29</v>
      </c>
    </row>
    <row r="458" spans="1:11" x14ac:dyDescent="0.3">
      <c r="A458" t="s">
        <v>988</v>
      </c>
      <c r="B458" t="s">
        <v>989</v>
      </c>
      <c r="C458">
        <v>115</v>
      </c>
      <c r="D458" t="s">
        <v>28</v>
      </c>
      <c r="E458" s="1">
        <v>44834</v>
      </c>
      <c r="J458">
        <v>68</v>
      </c>
      <c r="K458">
        <v>80</v>
      </c>
    </row>
    <row r="459" spans="1:11" x14ac:dyDescent="0.3">
      <c r="A459" t="s">
        <v>450</v>
      </c>
      <c r="B459" t="s">
        <v>451</v>
      </c>
      <c r="C459">
        <v>98</v>
      </c>
      <c r="D459" t="s">
        <v>15</v>
      </c>
      <c r="E459" s="1">
        <v>45604</v>
      </c>
      <c r="J459">
        <v>82</v>
      </c>
      <c r="K459">
        <v>93</v>
      </c>
    </row>
    <row r="460" spans="1:11" x14ac:dyDescent="0.3">
      <c r="A460" t="s">
        <v>1748</v>
      </c>
      <c r="B460" t="s">
        <v>1749</v>
      </c>
      <c r="C460">
        <v>102</v>
      </c>
      <c r="D460" t="s">
        <v>15</v>
      </c>
      <c r="E460" s="1">
        <v>44799</v>
      </c>
      <c r="J460">
        <v>45</v>
      </c>
      <c r="K460">
        <v>38</v>
      </c>
    </row>
    <row r="461" spans="1:11" x14ac:dyDescent="0.3">
      <c r="A461" t="s">
        <v>1772</v>
      </c>
      <c r="B461" t="s">
        <v>1773</v>
      </c>
      <c r="C461">
        <v>122</v>
      </c>
      <c r="D461" t="s">
        <v>28</v>
      </c>
      <c r="E461" s="1">
        <v>45429</v>
      </c>
      <c r="J461">
        <v>43</v>
      </c>
      <c r="K461">
        <v>35</v>
      </c>
    </row>
    <row r="462" spans="1:11" x14ac:dyDescent="0.3">
      <c r="A462" t="s">
        <v>282</v>
      </c>
      <c r="B462" t="s">
        <v>283</v>
      </c>
      <c r="C462">
        <v>98</v>
      </c>
      <c r="D462" t="s">
        <v>28</v>
      </c>
      <c r="E462" s="1">
        <v>45492</v>
      </c>
      <c r="J462">
        <v>78</v>
      </c>
      <c r="K462">
        <v>96</v>
      </c>
    </row>
    <row r="463" spans="1:11" x14ac:dyDescent="0.3">
      <c r="A463" t="s">
        <v>1354</v>
      </c>
      <c r="B463" t="s">
        <v>1355</v>
      </c>
      <c r="C463">
        <v>118</v>
      </c>
      <c r="D463" t="s">
        <v>28</v>
      </c>
      <c r="E463" s="1">
        <v>45476</v>
      </c>
      <c r="J463">
        <v>53</v>
      </c>
      <c r="K463">
        <v>63</v>
      </c>
    </row>
    <row r="464" spans="1:11" x14ac:dyDescent="0.3">
      <c r="A464" t="s">
        <v>1932</v>
      </c>
      <c r="B464" t="s">
        <v>1933</v>
      </c>
      <c r="C464">
        <v>123</v>
      </c>
      <c r="D464" t="s">
        <v>28</v>
      </c>
      <c r="E464" s="1">
        <v>45226</v>
      </c>
      <c r="J464">
        <v>44</v>
      </c>
      <c r="K464">
        <v>23</v>
      </c>
    </row>
    <row r="465" spans="1:11" x14ac:dyDescent="0.3">
      <c r="A465" t="s">
        <v>737</v>
      </c>
      <c r="B465" t="s">
        <v>738</v>
      </c>
      <c r="C465">
        <v>99</v>
      </c>
      <c r="D465" t="s">
        <v>15</v>
      </c>
      <c r="E465" s="1">
        <v>45471</v>
      </c>
      <c r="J465">
        <v>68</v>
      </c>
      <c r="K465">
        <v>86</v>
      </c>
    </row>
    <row r="466" spans="1:11" x14ac:dyDescent="0.3">
      <c r="A466" t="s">
        <v>885</v>
      </c>
      <c r="B466" t="s">
        <v>859</v>
      </c>
      <c r="C466">
        <v>97</v>
      </c>
      <c r="D466" t="s">
        <v>18</v>
      </c>
      <c r="E466" s="1">
        <v>44637</v>
      </c>
      <c r="J466">
        <v>78</v>
      </c>
      <c r="K466">
        <v>83</v>
      </c>
    </row>
    <row r="467" spans="1:11" x14ac:dyDescent="0.3">
      <c r="A467" t="s">
        <v>1298</v>
      </c>
      <c r="B467" t="s">
        <v>1299</v>
      </c>
      <c r="C467">
        <v>112</v>
      </c>
      <c r="D467" t="s">
        <v>28</v>
      </c>
      <c r="E467" s="1">
        <v>45002</v>
      </c>
      <c r="J467">
        <v>58</v>
      </c>
      <c r="K467">
        <v>67</v>
      </c>
    </row>
    <row r="468" spans="1:11" x14ac:dyDescent="0.3">
      <c r="A468" t="s">
        <v>554</v>
      </c>
      <c r="B468" t="s">
        <v>555</v>
      </c>
      <c r="C468">
        <v>102</v>
      </c>
      <c r="D468" t="s">
        <v>28</v>
      </c>
      <c r="E468" s="1">
        <v>45252</v>
      </c>
      <c r="J468">
        <v>74</v>
      </c>
      <c r="K468">
        <v>91</v>
      </c>
    </row>
    <row r="469" spans="1:11" x14ac:dyDescent="0.3">
      <c r="A469" t="s">
        <v>494</v>
      </c>
      <c r="B469" t="s">
        <v>495</v>
      </c>
      <c r="C469">
        <v>140</v>
      </c>
      <c r="D469" t="s">
        <v>15</v>
      </c>
      <c r="E469" s="1">
        <v>45716</v>
      </c>
      <c r="J469">
        <v>91</v>
      </c>
      <c r="K469">
        <v>92</v>
      </c>
    </row>
    <row r="470" spans="1:11" x14ac:dyDescent="0.3">
      <c r="A470" t="s">
        <v>1874</v>
      </c>
      <c r="B470" t="s">
        <v>1875</v>
      </c>
      <c r="C470">
        <v>90</v>
      </c>
      <c r="D470" t="s">
        <v>12</v>
      </c>
      <c r="E470" s="1">
        <v>45506</v>
      </c>
      <c r="J470">
        <v>34</v>
      </c>
      <c r="K470">
        <v>27</v>
      </c>
    </row>
    <row r="471" spans="1:11" x14ac:dyDescent="0.3">
      <c r="A471" t="s">
        <v>378</v>
      </c>
      <c r="B471" t="s">
        <v>379</v>
      </c>
      <c r="C471">
        <v>97</v>
      </c>
      <c r="D471" t="s">
        <v>28</v>
      </c>
      <c r="E471" s="1">
        <v>45674</v>
      </c>
      <c r="J471">
        <v>71</v>
      </c>
      <c r="K471">
        <v>94</v>
      </c>
    </row>
    <row r="472" spans="1:11" x14ac:dyDescent="0.3">
      <c r="A472" t="s">
        <v>1024</v>
      </c>
      <c r="B472" t="s">
        <v>1025</v>
      </c>
      <c r="C472">
        <v>127</v>
      </c>
      <c r="D472" t="s">
        <v>15</v>
      </c>
      <c r="E472" s="1">
        <v>45156</v>
      </c>
      <c r="J472">
        <v>61</v>
      </c>
      <c r="K472">
        <v>78</v>
      </c>
    </row>
    <row r="473" spans="1:11" x14ac:dyDescent="0.3">
      <c r="A473" t="s">
        <v>1302</v>
      </c>
      <c r="B473" t="s">
        <v>1303</v>
      </c>
      <c r="C473">
        <v>129</v>
      </c>
      <c r="D473" t="s">
        <v>28</v>
      </c>
      <c r="E473" s="1">
        <v>44995</v>
      </c>
      <c r="J473">
        <v>53</v>
      </c>
      <c r="K473">
        <v>67</v>
      </c>
    </row>
    <row r="474" spans="1:11" x14ac:dyDescent="0.3">
      <c r="A474" t="s">
        <v>1554</v>
      </c>
      <c r="B474">
        <v>2073</v>
      </c>
      <c r="C474">
        <v>85</v>
      </c>
      <c r="D474" t="s">
        <v>28</v>
      </c>
      <c r="E474" s="1">
        <v>45653</v>
      </c>
      <c r="G474">
        <v>1600</v>
      </c>
      <c r="J474">
        <v>52</v>
      </c>
      <c r="K474">
        <v>49</v>
      </c>
    </row>
    <row r="475" spans="1:11" x14ac:dyDescent="0.3">
      <c r="A475" t="s">
        <v>1619</v>
      </c>
      <c r="B475" t="s">
        <v>1620</v>
      </c>
      <c r="C475">
        <v>142</v>
      </c>
      <c r="D475" t="s">
        <v>15</v>
      </c>
      <c r="E475" s="1">
        <v>44666</v>
      </c>
      <c r="J475">
        <v>47</v>
      </c>
      <c r="K475">
        <v>46</v>
      </c>
    </row>
    <row r="476" spans="1:11" x14ac:dyDescent="0.3">
      <c r="A476" t="s">
        <v>1394</v>
      </c>
      <c r="B476" t="s">
        <v>1395</v>
      </c>
      <c r="C476">
        <v>112</v>
      </c>
      <c r="D476" t="s">
        <v>15</v>
      </c>
      <c r="E476" s="1">
        <v>44603</v>
      </c>
      <c r="J476">
        <v>51</v>
      </c>
      <c r="K476">
        <v>61</v>
      </c>
    </row>
    <row r="477" spans="1:11" x14ac:dyDescent="0.3">
      <c r="A477" t="s">
        <v>1661</v>
      </c>
      <c r="B477" t="s">
        <v>1662</v>
      </c>
      <c r="C477">
        <v>115</v>
      </c>
      <c r="D477" t="s">
        <v>28</v>
      </c>
      <c r="E477" s="1">
        <v>45058</v>
      </c>
      <c r="J477">
        <v>45</v>
      </c>
      <c r="K477">
        <v>43</v>
      </c>
    </row>
    <row r="478" spans="1:11" x14ac:dyDescent="0.3">
      <c r="A478" t="s">
        <v>1358</v>
      </c>
      <c r="B478" t="s">
        <v>1359</v>
      </c>
      <c r="C478">
        <v>144</v>
      </c>
      <c r="D478" t="s">
        <v>15</v>
      </c>
      <c r="E478" s="1">
        <v>45093</v>
      </c>
      <c r="J478">
        <v>55</v>
      </c>
      <c r="K478">
        <v>63</v>
      </c>
    </row>
    <row r="479" spans="1:11" x14ac:dyDescent="0.3">
      <c r="A479" t="s">
        <v>1286</v>
      </c>
      <c r="B479" t="s">
        <v>1287</v>
      </c>
      <c r="C479">
        <v>136</v>
      </c>
      <c r="D479" t="s">
        <v>28</v>
      </c>
      <c r="E479" s="1">
        <v>44659</v>
      </c>
      <c r="J479">
        <v>55</v>
      </c>
      <c r="K479">
        <v>68</v>
      </c>
    </row>
    <row r="480" spans="1:11" x14ac:dyDescent="0.3">
      <c r="A480" t="s">
        <v>1236</v>
      </c>
      <c r="B480" t="s">
        <v>1237</v>
      </c>
      <c r="C480">
        <v>148</v>
      </c>
      <c r="D480" t="s">
        <v>28</v>
      </c>
      <c r="E480" s="1">
        <v>45618</v>
      </c>
      <c r="J480">
        <v>64</v>
      </c>
      <c r="K480">
        <v>70</v>
      </c>
    </row>
    <row r="481" spans="1:11" x14ac:dyDescent="0.3">
      <c r="A481" t="s">
        <v>1132</v>
      </c>
      <c r="B481" t="s">
        <v>1133</v>
      </c>
      <c r="C481">
        <v>112</v>
      </c>
      <c r="D481" t="s">
        <v>15</v>
      </c>
      <c r="E481" s="1">
        <v>45715</v>
      </c>
      <c r="G481">
        <v>1100</v>
      </c>
      <c r="I481">
        <v>40</v>
      </c>
      <c r="J481">
        <v>56</v>
      </c>
      <c r="K481">
        <v>74</v>
      </c>
    </row>
    <row r="482" spans="1:11" x14ac:dyDescent="0.3">
      <c r="A482" t="s">
        <v>1861</v>
      </c>
      <c r="B482" t="s">
        <v>1862</v>
      </c>
      <c r="C482">
        <v>147</v>
      </c>
      <c r="D482" t="s">
        <v>15</v>
      </c>
      <c r="E482" s="1">
        <v>44722</v>
      </c>
      <c r="J482">
        <v>38</v>
      </c>
      <c r="K482">
        <v>29</v>
      </c>
    </row>
    <row r="483" spans="1:11" x14ac:dyDescent="0.3">
      <c r="A483" s="16" t="s">
        <v>318</v>
      </c>
      <c r="B483" s="16" t="s">
        <v>319</v>
      </c>
      <c r="C483" s="16">
        <v>112</v>
      </c>
      <c r="D483" s="16" t="s">
        <v>12</v>
      </c>
      <c r="E483" s="17">
        <v>44724</v>
      </c>
      <c r="F483" s="16">
        <v>8.1</v>
      </c>
      <c r="G483" s="16">
        <v>595</v>
      </c>
      <c r="I483">
        <v>7</v>
      </c>
      <c r="J483">
        <v>81</v>
      </c>
      <c r="K483">
        <v>96</v>
      </c>
    </row>
    <row r="484" spans="1:11" x14ac:dyDescent="0.3">
      <c r="A484" t="s">
        <v>346</v>
      </c>
      <c r="B484" t="s">
        <v>347</v>
      </c>
      <c r="C484">
        <v>96</v>
      </c>
      <c r="D484" t="s">
        <v>63</v>
      </c>
      <c r="E484" s="1">
        <v>45251</v>
      </c>
      <c r="G484">
        <v>1400</v>
      </c>
      <c r="I484">
        <v>17</v>
      </c>
      <c r="J484">
        <v>72</v>
      </c>
      <c r="K484">
        <v>95</v>
      </c>
    </row>
    <row r="485" spans="1:11" x14ac:dyDescent="0.3">
      <c r="A485" t="s">
        <v>400</v>
      </c>
      <c r="B485" t="s">
        <v>401</v>
      </c>
      <c r="C485">
        <v>103</v>
      </c>
      <c r="D485" t="s">
        <v>15</v>
      </c>
      <c r="E485" s="1">
        <v>45268</v>
      </c>
      <c r="G485">
        <v>1200</v>
      </c>
      <c r="I485">
        <v>23</v>
      </c>
      <c r="J485">
        <v>74</v>
      </c>
      <c r="K485">
        <v>94</v>
      </c>
    </row>
    <row r="486" spans="1:11" x14ac:dyDescent="0.3">
      <c r="A486" t="s">
        <v>860</v>
      </c>
      <c r="B486" t="s">
        <v>861</v>
      </c>
      <c r="C486">
        <v>93</v>
      </c>
      <c r="D486" t="s">
        <v>862</v>
      </c>
      <c r="E486" s="1">
        <v>45435</v>
      </c>
      <c r="I486">
        <v>30</v>
      </c>
      <c r="J486">
        <v>66</v>
      </c>
      <c r="K486">
        <v>83</v>
      </c>
    </row>
    <row r="487" spans="1:11" x14ac:dyDescent="0.3">
      <c r="A487" t="s">
        <v>1046</v>
      </c>
      <c r="B487" t="s">
        <v>1047</v>
      </c>
      <c r="C487">
        <v>122</v>
      </c>
      <c r="D487" t="s">
        <v>28</v>
      </c>
      <c r="E487" s="1">
        <v>45086</v>
      </c>
      <c r="I487">
        <v>35</v>
      </c>
      <c r="J487">
        <v>56</v>
      </c>
      <c r="K487">
        <v>77</v>
      </c>
    </row>
    <row r="488" spans="1:11" x14ac:dyDescent="0.3">
      <c r="A488" t="s">
        <v>677</v>
      </c>
      <c r="B488" t="s">
        <v>678</v>
      </c>
      <c r="C488">
        <v>100</v>
      </c>
      <c r="D488" t="s">
        <v>28</v>
      </c>
      <c r="E488" s="1">
        <v>45023</v>
      </c>
      <c r="J488">
        <v>69</v>
      </c>
      <c r="K488">
        <v>88</v>
      </c>
    </row>
    <row r="489" spans="1:11" x14ac:dyDescent="0.3">
      <c r="A489" t="s">
        <v>256</v>
      </c>
      <c r="B489" t="s">
        <v>257</v>
      </c>
      <c r="C489">
        <v>117</v>
      </c>
      <c r="D489" t="s">
        <v>28</v>
      </c>
      <c r="E489" s="1">
        <v>45016</v>
      </c>
      <c r="J489">
        <v>81</v>
      </c>
      <c r="K489">
        <v>97</v>
      </c>
    </row>
    <row r="490" spans="1:11" x14ac:dyDescent="0.3">
      <c r="A490" t="s">
        <v>1651</v>
      </c>
      <c r="B490" t="s">
        <v>1652</v>
      </c>
      <c r="C490">
        <v>93</v>
      </c>
      <c r="D490" t="s">
        <v>63</v>
      </c>
      <c r="E490" s="1">
        <v>45492</v>
      </c>
      <c r="J490">
        <v>50</v>
      </c>
      <c r="K490">
        <v>43</v>
      </c>
    </row>
    <row r="491" spans="1:11" x14ac:dyDescent="0.3">
      <c r="A491" t="s">
        <v>1653</v>
      </c>
      <c r="B491" t="s">
        <v>1654</v>
      </c>
      <c r="C491">
        <v>110</v>
      </c>
      <c r="D491" t="s">
        <v>15</v>
      </c>
      <c r="E491" s="1">
        <v>45457</v>
      </c>
      <c r="J491">
        <v>48</v>
      </c>
      <c r="K491">
        <v>43</v>
      </c>
    </row>
    <row r="492" spans="1:11" x14ac:dyDescent="0.3">
      <c r="A492" t="s">
        <v>1567</v>
      </c>
      <c r="B492" t="s">
        <v>1568</v>
      </c>
      <c r="C492">
        <v>109</v>
      </c>
      <c r="D492" t="s">
        <v>12</v>
      </c>
      <c r="E492" s="1">
        <v>45618</v>
      </c>
      <c r="J492">
        <v>54</v>
      </c>
      <c r="K492">
        <v>48</v>
      </c>
    </row>
    <row r="493" spans="1:11" x14ac:dyDescent="0.3">
      <c r="A493" t="s">
        <v>1478</v>
      </c>
      <c r="B493" t="s">
        <v>1479</v>
      </c>
      <c r="C493">
        <v>98</v>
      </c>
      <c r="D493" t="s">
        <v>12</v>
      </c>
      <c r="E493" s="1">
        <v>44757</v>
      </c>
      <c r="J493">
        <v>45</v>
      </c>
      <c r="K493">
        <v>56</v>
      </c>
    </row>
    <row r="494" spans="1:11" x14ac:dyDescent="0.3">
      <c r="A494" t="s">
        <v>488</v>
      </c>
      <c r="B494" t="s">
        <v>489</v>
      </c>
      <c r="C494">
        <v>108</v>
      </c>
      <c r="D494" t="s">
        <v>28</v>
      </c>
      <c r="E494" s="1">
        <v>44697</v>
      </c>
      <c r="J494">
        <v>82</v>
      </c>
      <c r="K494">
        <v>93</v>
      </c>
    </row>
    <row r="495" spans="1:11" x14ac:dyDescent="0.3">
      <c r="A495" t="s">
        <v>1480</v>
      </c>
      <c r="B495" t="s">
        <v>1481</v>
      </c>
      <c r="C495">
        <v>126</v>
      </c>
      <c r="D495" t="s">
        <v>15</v>
      </c>
      <c r="E495" s="1">
        <v>44708</v>
      </c>
      <c r="J495">
        <v>53</v>
      </c>
      <c r="K495">
        <v>56</v>
      </c>
    </row>
    <row r="496" spans="1:11" x14ac:dyDescent="0.3">
      <c r="A496" t="s">
        <v>1234</v>
      </c>
      <c r="B496" t="s">
        <v>1235</v>
      </c>
      <c r="C496">
        <v>111</v>
      </c>
      <c r="D496" t="s">
        <v>28</v>
      </c>
      <c r="E496" s="1">
        <v>44610</v>
      </c>
      <c r="J496">
        <v>62</v>
      </c>
      <c r="K496">
        <v>71</v>
      </c>
    </row>
    <row r="497" spans="1:11" x14ac:dyDescent="0.3">
      <c r="A497" t="s">
        <v>328</v>
      </c>
      <c r="B497" t="s">
        <v>329</v>
      </c>
      <c r="C497">
        <v>115</v>
      </c>
      <c r="D497" t="s">
        <v>28</v>
      </c>
      <c r="E497" s="1">
        <v>44617</v>
      </c>
      <c r="J497">
        <v>79</v>
      </c>
      <c r="K497">
        <v>96</v>
      </c>
    </row>
    <row r="498" spans="1:11" x14ac:dyDescent="0.3">
      <c r="A498" t="s">
        <v>932</v>
      </c>
      <c r="B498" t="s">
        <v>933</v>
      </c>
      <c r="C498">
        <v>107</v>
      </c>
      <c r="D498" t="s">
        <v>28</v>
      </c>
      <c r="E498" s="1">
        <v>44771</v>
      </c>
      <c r="J498">
        <v>65</v>
      </c>
      <c r="K498">
        <v>82</v>
      </c>
    </row>
    <row r="499" spans="1:11" x14ac:dyDescent="0.3">
      <c r="A499" t="s">
        <v>1639</v>
      </c>
      <c r="B499" t="s">
        <v>1640</v>
      </c>
      <c r="C499">
        <v>115</v>
      </c>
      <c r="D499" t="s">
        <v>28</v>
      </c>
      <c r="E499" s="1">
        <v>44904</v>
      </c>
      <c r="J499">
        <v>54</v>
      </c>
      <c r="K499">
        <v>44</v>
      </c>
    </row>
    <row r="500" spans="1:11" x14ac:dyDescent="0.3">
      <c r="A500" t="s">
        <v>1372</v>
      </c>
      <c r="B500" t="s">
        <v>1373</v>
      </c>
      <c r="C500">
        <v>144</v>
      </c>
      <c r="D500" t="s">
        <v>28</v>
      </c>
      <c r="E500" s="1">
        <v>45667</v>
      </c>
      <c r="J500">
        <v>60</v>
      </c>
      <c r="K500">
        <v>62</v>
      </c>
    </row>
    <row r="501" spans="1:11" x14ac:dyDescent="0.3">
      <c r="A501" t="s">
        <v>434</v>
      </c>
      <c r="B501" t="s">
        <v>435</v>
      </c>
      <c r="C501">
        <v>116</v>
      </c>
      <c r="D501" t="s">
        <v>28</v>
      </c>
      <c r="E501" s="1">
        <v>45765</v>
      </c>
      <c r="J501">
        <v>75</v>
      </c>
      <c r="K501">
        <v>93</v>
      </c>
    </row>
    <row r="502" spans="1:11" x14ac:dyDescent="0.3">
      <c r="A502" t="s">
        <v>804</v>
      </c>
      <c r="B502" t="s">
        <v>805</v>
      </c>
      <c r="C502">
        <v>108</v>
      </c>
      <c r="D502" t="s">
        <v>28</v>
      </c>
      <c r="E502" s="1">
        <v>44881</v>
      </c>
      <c r="J502">
        <v>71</v>
      </c>
      <c r="K502">
        <v>85</v>
      </c>
    </row>
    <row r="503" spans="1:11" x14ac:dyDescent="0.3">
      <c r="A503" t="s">
        <v>1657</v>
      </c>
      <c r="B503" t="s">
        <v>1658</v>
      </c>
      <c r="C503">
        <v>107</v>
      </c>
      <c r="D503" t="s">
        <v>15</v>
      </c>
      <c r="E503" s="1">
        <v>45336</v>
      </c>
      <c r="J503">
        <v>43</v>
      </c>
      <c r="K503">
        <v>43</v>
      </c>
    </row>
    <row r="504" spans="1:11" x14ac:dyDescent="0.3">
      <c r="A504" t="s">
        <v>731</v>
      </c>
      <c r="B504" t="s">
        <v>732</v>
      </c>
      <c r="C504">
        <v>127</v>
      </c>
      <c r="D504" t="s">
        <v>28</v>
      </c>
      <c r="E504" s="1">
        <v>45583</v>
      </c>
      <c r="J504">
        <v>67</v>
      </c>
      <c r="K504">
        <v>86</v>
      </c>
    </row>
    <row r="505" spans="1:11" x14ac:dyDescent="0.3">
      <c r="A505" t="s">
        <v>1256</v>
      </c>
      <c r="B505" t="s">
        <v>1257</v>
      </c>
      <c r="C505">
        <v>99</v>
      </c>
      <c r="D505" t="s">
        <v>28</v>
      </c>
      <c r="E505" s="1">
        <v>44792</v>
      </c>
      <c r="J505">
        <v>54</v>
      </c>
      <c r="K505">
        <v>69</v>
      </c>
    </row>
    <row r="506" spans="1:11" x14ac:dyDescent="0.3">
      <c r="A506" t="s">
        <v>1538</v>
      </c>
      <c r="B506" t="s">
        <v>1539</v>
      </c>
      <c r="C506">
        <v>110</v>
      </c>
      <c r="D506" t="s">
        <v>28</v>
      </c>
      <c r="E506" s="1">
        <v>45177</v>
      </c>
      <c r="J506">
        <v>47</v>
      </c>
      <c r="K506">
        <v>51</v>
      </c>
    </row>
    <row r="507" spans="1:11" x14ac:dyDescent="0.3">
      <c r="A507" t="s">
        <v>793</v>
      </c>
      <c r="B507" t="s">
        <v>778</v>
      </c>
      <c r="C507">
        <v>118</v>
      </c>
      <c r="D507" t="s">
        <v>28</v>
      </c>
      <c r="E507" s="1">
        <v>45240</v>
      </c>
      <c r="J507">
        <v>73</v>
      </c>
      <c r="K507">
        <v>85</v>
      </c>
    </row>
    <row r="508" spans="1:11" x14ac:dyDescent="0.3">
      <c r="A508" t="s">
        <v>709</v>
      </c>
      <c r="B508" t="s">
        <v>710</v>
      </c>
      <c r="C508">
        <v>99</v>
      </c>
      <c r="D508" t="s">
        <v>28</v>
      </c>
      <c r="E508" s="1">
        <v>44827</v>
      </c>
      <c r="J508">
        <v>73</v>
      </c>
      <c r="K508">
        <v>87</v>
      </c>
    </row>
    <row r="509" spans="1:11" x14ac:dyDescent="0.3">
      <c r="A509" t="s">
        <v>1034</v>
      </c>
      <c r="B509" t="s">
        <v>1035</v>
      </c>
      <c r="C509">
        <v>137</v>
      </c>
      <c r="D509" t="s">
        <v>28</v>
      </c>
      <c r="E509" s="1">
        <v>45745</v>
      </c>
      <c r="J509">
        <v>72</v>
      </c>
      <c r="K509">
        <v>77</v>
      </c>
    </row>
    <row r="510" spans="1:11" x14ac:dyDescent="0.3">
      <c r="A510" t="s">
        <v>570</v>
      </c>
      <c r="B510" t="s">
        <v>571</v>
      </c>
      <c r="C510">
        <v>99</v>
      </c>
      <c r="D510" t="s">
        <v>18</v>
      </c>
      <c r="E510" s="1">
        <v>44848</v>
      </c>
      <c r="J510">
        <v>72</v>
      </c>
      <c r="K510">
        <v>91</v>
      </c>
    </row>
    <row r="511" spans="1:11" x14ac:dyDescent="0.3">
      <c r="A511" t="s">
        <v>380</v>
      </c>
      <c r="B511" t="s">
        <v>381</v>
      </c>
      <c r="C511">
        <v>89</v>
      </c>
      <c r="D511" t="s">
        <v>28</v>
      </c>
      <c r="E511" s="1">
        <v>45674</v>
      </c>
      <c r="G511">
        <v>1700</v>
      </c>
      <c r="J511">
        <v>82</v>
      </c>
      <c r="K511">
        <v>94</v>
      </c>
    </row>
    <row r="512" spans="1:11" x14ac:dyDescent="0.3">
      <c r="A512" t="s">
        <v>552</v>
      </c>
      <c r="B512" t="s">
        <v>553</v>
      </c>
      <c r="C512">
        <v>117</v>
      </c>
      <c r="D512" t="s">
        <v>28</v>
      </c>
      <c r="E512" s="1">
        <v>45261</v>
      </c>
      <c r="J512">
        <v>86</v>
      </c>
      <c r="K512">
        <v>91</v>
      </c>
    </row>
    <row r="513" spans="1:11" x14ac:dyDescent="0.3">
      <c r="A513" t="s">
        <v>1084</v>
      </c>
      <c r="B513" t="s">
        <v>1085</v>
      </c>
      <c r="C513">
        <v>103</v>
      </c>
      <c r="D513" t="s">
        <v>15</v>
      </c>
      <c r="E513" s="1">
        <v>45184</v>
      </c>
      <c r="J513">
        <v>63</v>
      </c>
      <c r="K513">
        <v>76</v>
      </c>
    </row>
    <row r="514" spans="1:11" x14ac:dyDescent="0.3">
      <c r="A514" t="s">
        <v>342</v>
      </c>
      <c r="B514" t="s">
        <v>343</v>
      </c>
      <c r="C514">
        <v>106</v>
      </c>
      <c r="D514" t="s">
        <v>18</v>
      </c>
      <c r="E514" s="1">
        <v>45408</v>
      </c>
      <c r="J514">
        <v>70</v>
      </c>
      <c r="K514">
        <v>95</v>
      </c>
    </row>
    <row r="515" spans="1:11" x14ac:dyDescent="0.3">
      <c r="A515" t="s">
        <v>582</v>
      </c>
      <c r="B515" t="s">
        <v>583</v>
      </c>
      <c r="C515">
        <v>114</v>
      </c>
      <c r="D515" t="s">
        <v>18</v>
      </c>
      <c r="E515" s="1">
        <v>45569</v>
      </c>
      <c r="J515">
        <v>65</v>
      </c>
      <c r="K515">
        <v>90</v>
      </c>
    </row>
    <row r="516" spans="1:11" x14ac:dyDescent="0.3">
      <c r="A516" t="s">
        <v>352</v>
      </c>
      <c r="B516" t="s">
        <v>353</v>
      </c>
      <c r="C516">
        <v>122</v>
      </c>
      <c r="D516" t="s">
        <v>28</v>
      </c>
      <c r="E516" s="1">
        <v>45128</v>
      </c>
      <c r="J516">
        <v>74</v>
      </c>
      <c r="K516">
        <v>95</v>
      </c>
    </row>
    <row r="517" spans="1:11" x14ac:dyDescent="0.3">
      <c r="A517" t="s">
        <v>608</v>
      </c>
      <c r="B517" t="s">
        <v>609</v>
      </c>
      <c r="C517">
        <v>101</v>
      </c>
      <c r="D517" t="s">
        <v>90</v>
      </c>
      <c r="E517" s="1">
        <v>44896</v>
      </c>
      <c r="J517">
        <v>62</v>
      </c>
      <c r="K517">
        <v>90</v>
      </c>
    </row>
    <row r="518" spans="1:11" x14ac:dyDescent="0.3">
      <c r="A518" t="s">
        <v>388</v>
      </c>
      <c r="B518" t="s">
        <v>389</v>
      </c>
      <c r="C518">
        <v>104</v>
      </c>
      <c r="D518" t="s">
        <v>28</v>
      </c>
      <c r="E518" s="1">
        <v>45415</v>
      </c>
      <c r="J518">
        <v>77</v>
      </c>
      <c r="K518">
        <v>94</v>
      </c>
    </row>
    <row r="519" spans="1:11" x14ac:dyDescent="0.3">
      <c r="A519" t="s">
        <v>1284</v>
      </c>
      <c r="B519" t="s">
        <v>1285</v>
      </c>
      <c r="C519">
        <v>93</v>
      </c>
      <c r="D519" t="s">
        <v>28</v>
      </c>
      <c r="E519" s="1">
        <v>44792</v>
      </c>
      <c r="J519">
        <v>54</v>
      </c>
      <c r="K519">
        <v>68</v>
      </c>
    </row>
    <row r="520" spans="1:11" x14ac:dyDescent="0.3">
      <c r="A520" t="s">
        <v>1555</v>
      </c>
      <c r="B520" t="s">
        <v>1556</v>
      </c>
      <c r="C520">
        <v>134</v>
      </c>
      <c r="D520" t="s">
        <v>15</v>
      </c>
      <c r="E520" s="1">
        <v>45639</v>
      </c>
      <c r="J520">
        <v>54</v>
      </c>
      <c r="K520">
        <v>49</v>
      </c>
    </row>
    <row r="521" spans="1:11" x14ac:dyDescent="0.3">
      <c r="A521" t="s">
        <v>1843</v>
      </c>
      <c r="B521" t="s">
        <v>1844</v>
      </c>
      <c r="C521">
        <v>91</v>
      </c>
      <c r="D521" t="s">
        <v>28</v>
      </c>
      <c r="E521" s="1">
        <v>45163</v>
      </c>
      <c r="J521">
        <v>43</v>
      </c>
      <c r="K521">
        <v>30</v>
      </c>
    </row>
    <row r="522" spans="1:11" x14ac:dyDescent="0.3">
      <c r="A522" t="s">
        <v>1688</v>
      </c>
      <c r="B522" t="s">
        <v>1689</v>
      </c>
      <c r="C522">
        <v>111</v>
      </c>
      <c r="D522" t="s">
        <v>28</v>
      </c>
      <c r="E522" s="1">
        <v>45547</v>
      </c>
      <c r="I522">
        <v>43</v>
      </c>
      <c r="J522">
        <v>44</v>
      </c>
      <c r="K522">
        <v>41</v>
      </c>
    </row>
    <row r="523" spans="1:11" x14ac:dyDescent="0.3">
      <c r="A523" t="s">
        <v>1310</v>
      </c>
      <c r="B523" t="s">
        <v>1311</v>
      </c>
      <c r="C523">
        <v>108</v>
      </c>
      <c r="D523" t="s">
        <v>28</v>
      </c>
      <c r="E523" s="1">
        <v>45562</v>
      </c>
      <c r="J523">
        <v>60</v>
      </c>
      <c r="K523">
        <v>66</v>
      </c>
    </row>
    <row r="524" spans="1:11" x14ac:dyDescent="0.3">
      <c r="A524" t="s">
        <v>779</v>
      </c>
      <c r="B524" t="s">
        <v>780</v>
      </c>
      <c r="C524">
        <v>101</v>
      </c>
      <c r="D524" t="s">
        <v>28</v>
      </c>
      <c r="E524" s="1">
        <v>45485</v>
      </c>
      <c r="J524">
        <v>77</v>
      </c>
      <c r="K524">
        <v>85</v>
      </c>
    </row>
    <row r="525" spans="1:11" x14ac:dyDescent="0.3">
      <c r="A525" t="s">
        <v>549</v>
      </c>
      <c r="B525" t="s">
        <v>550</v>
      </c>
      <c r="C525">
        <v>93</v>
      </c>
      <c r="D525" t="s">
        <v>551</v>
      </c>
      <c r="E525" s="1">
        <v>45324</v>
      </c>
      <c r="J525">
        <v>72</v>
      </c>
      <c r="K525">
        <v>91</v>
      </c>
    </row>
    <row r="526" spans="1:11" x14ac:dyDescent="0.3">
      <c r="A526" t="s">
        <v>1760</v>
      </c>
      <c r="B526" t="s">
        <v>1761</v>
      </c>
      <c r="C526">
        <v>104</v>
      </c>
      <c r="D526" t="s">
        <v>15</v>
      </c>
      <c r="E526" s="1">
        <v>45597</v>
      </c>
      <c r="J526">
        <v>39</v>
      </c>
      <c r="K526">
        <v>36</v>
      </c>
    </row>
    <row r="527" spans="1:11" x14ac:dyDescent="0.3">
      <c r="A527" t="s">
        <v>1795</v>
      </c>
      <c r="B527" t="s">
        <v>1796</v>
      </c>
      <c r="C527">
        <v>124</v>
      </c>
      <c r="D527" t="s">
        <v>15</v>
      </c>
      <c r="E527" s="1">
        <v>45282</v>
      </c>
      <c r="J527">
        <v>42</v>
      </c>
      <c r="K527">
        <v>33</v>
      </c>
    </row>
    <row r="528" spans="1:11" x14ac:dyDescent="0.3">
      <c r="A528" t="s">
        <v>1621</v>
      </c>
      <c r="B528" t="s">
        <v>1622</v>
      </c>
      <c r="C528">
        <v>112</v>
      </c>
      <c r="D528" t="s">
        <v>15</v>
      </c>
      <c r="E528" s="1">
        <v>45646</v>
      </c>
      <c r="J528">
        <v>44</v>
      </c>
      <c r="K528">
        <v>45</v>
      </c>
    </row>
    <row r="529" spans="1:11" x14ac:dyDescent="0.3">
      <c r="A529" t="s">
        <v>1625</v>
      </c>
      <c r="B529" t="s">
        <v>1626</v>
      </c>
      <c r="C529">
        <v>113</v>
      </c>
      <c r="D529" t="s">
        <v>28</v>
      </c>
      <c r="E529" s="1">
        <v>45358</v>
      </c>
      <c r="J529">
        <v>44</v>
      </c>
      <c r="K529">
        <v>45</v>
      </c>
    </row>
    <row r="530" spans="1:11" x14ac:dyDescent="0.3">
      <c r="A530" t="s">
        <v>1452</v>
      </c>
      <c r="B530" t="s">
        <v>1453</v>
      </c>
      <c r="C530">
        <v>99</v>
      </c>
      <c r="D530" t="s">
        <v>12</v>
      </c>
      <c r="E530" s="1">
        <v>44827</v>
      </c>
      <c r="G530">
        <v>1700</v>
      </c>
      <c r="J530">
        <v>54</v>
      </c>
      <c r="K530">
        <v>57</v>
      </c>
    </row>
    <row r="531" spans="1:11" x14ac:dyDescent="0.3">
      <c r="A531" t="s">
        <v>994</v>
      </c>
      <c r="B531" t="s">
        <v>995</v>
      </c>
      <c r="C531">
        <v>103</v>
      </c>
      <c r="D531" t="s">
        <v>28</v>
      </c>
      <c r="E531" s="1">
        <v>45590</v>
      </c>
      <c r="J531">
        <v>62</v>
      </c>
      <c r="K531">
        <v>79</v>
      </c>
    </row>
    <row r="532" spans="1:11" x14ac:dyDescent="0.3">
      <c r="A532" t="s">
        <v>881</v>
      </c>
      <c r="B532" t="s">
        <v>882</v>
      </c>
      <c r="C532">
        <v>128</v>
      </c>
      <c r="D532" t="s">
        <v>15</v>
      </c>
      <c r="E532" s="1">
        <v>44692</v>
      </c>
      <c r="J532">
        <v>65</v>
      </c>
      <c r="K532">
        <v>83</v>
      </c>
    </row>
    <row r="533" spans="1:11" x14ac:dyDescent="0.3">
      <c r="A533" t="s">
        <v>51</v>
      </c>
      <c r="B533" t="s">
        <v>52</v>
      </c>
      <c r="C533">
        <v>104</v>
      </c>
      <c r="D533" t="s">
        <v>28</v>
      </c>
      <c r="E533" s="1">
        <v>45345</v>
      </c>
      <c r="J533">
        <v>61</v>
      </c>
      <c r="K533">
        <v>88</v>
      </c>
    </row>
    <row r="534" spans="1:11" x14ac:dyDescent="0.3">
      <c r="A534" t="s">
        <v>926</v>
      </c>
      <c r="B534" t="s">
        <v>927</v>
      </c>
      <c r="C534">
        <v>121</v>
      </c>
      <c r="D534" t="s">
        <v>28</v>
      </c>
      <c r="E534" s="1">
        <v>44862</v>
      </c>
      <c r="J534">
        <v>62</v>
      </c>
      <c r="K534">
        <v>82</v>
      </c>
    </row>
    <row r="535" spans="1:11" x14ac:dyDescent="0.3">
      <c r="A535" t="s">
        <v>749</v>
      </c>
      <c r="B535" t="s">
        <v>750</v>
      </c>
      <c r="C535">
        <v>92</v>
      </c>
      <c r="D535" t="s">
        <v>15</v>
      </c>
      <c r="E535" s="1">
        <v>45183</v>
      </c>
      <c r="J535">
        <v>70</v>
      </c>
      <c r="K535">
        <v>86</v>
      </c>
    </row>
    <row r="536" spans="1:11" x14ac:dyDescent="0.3">
      <c r="A536" t="s">
        <v>306</v>
      </c>
      <c r="B536" t="s">
        <v>307</v>
      </c>
      <c r="C536">
        <v>88</v>
      </c>
      <c r="D536" t="s">
        <v>18</v>
      </c>
      <c r="E536" s="1">
        <v>44947</v>
      </c>
      <c r="J536">
        <v>85</v>
      </c>
      <c r="K536">
        <v>96</v>
      </c>
    </row>
    <row r="537" spans="1:11" x14ac:dyDescent="0.3">
      <c r="A537" t="s">
        <v>739</v>
      </c>
      <c r="B537" t="s">
        <v>740</v>
      </c>
      <c r="C537">
        <v>129</v>
      </c>
      <c r="D537" t="s">
        <v>28</v>
      </c>
      <c r="E537" s="1">
        <v>45443</v>
      </c>
      <c r="J537">
        <v>70</v>
      </c>
      <c r="K537">
        <v>86</v>
      </c>
    </row>
    <row r="538" spans="1:11" x14ac:dyDescent="0.3">
      <c r="A538" t="s">
        <v>382</v>
      </c>
      <c r="B538" t="s">
        <v>383</v>
      </c>
      <c r="C538">
        <v>89</v>
      </c>
      <c r="D538" t="s">
        <v>63</v>
      </c>
      <c r="E538" s="1">
        <v>45583</v>
      </c>
      <c r="J538">
        <v>78</v>
      </c>
      <c r="K538">
        <v>94</v>
      </c>
    </row>
    <row r="539" spans="1:11" x14ac:dyDescent="0.3">
      <c r="A539" t="s">
        <v>604</v>
      </c>
      <c r="B539" t="s">
        <v>605</v>
      </c>
      <c r="C539">
        <v>95</v>
      </c>
      <c r="D539" t="s">
        <v>28</v>
      </c>
      <c r="E539" s="1">
        <v>45114</v>
      </c>
      <c r="J539">
        <v>74</v>
      </c>
      <c r="K539">
        <v>90</v>
      </c>
    </row>
    <row r="540" spans="1:11" x14ac:dyDescent="0.3">
      <c r="A540" t="s">
        <v>64</v>
      </c>
      <c r="B540" t="s">
        <v>65</v>
      </c>
      <c r="C540">
        <v>96</v>
      </c>
      <c r="D540" t="s">
        <v>15</v>
      </c>
      <c r="E540" s="1">
        <v>45001</v>
      </c>
      <c r="G540">
        <v>512</v>
      </c>
      <c r="I540">
        <v>10</v>
      </c>
      <c r="J540">
        <v>68</v>
      </c>
      <c r="K540">
        <v>84</v>
      </c>
    </row>
    <row r="541" spans="1:11" x14ac:dyDescent="0.3">
      <c r="A541" t="s">
        <v>80</v>
      </c>
      <c r="B541" t="s">
        <v>81</v>
      </c>
      <c r="C541">
        <v>100</v>
      </c>
      <c r="D541" t="s">
        <v>12</v>
      </c>
      <c r="E541" s="1">
        <v>45184</v>
      </c>
      <c r="G541">
        <v>784</v>
      </c>
      <c r="I541">
        <v>24</v>
      </c>
      <c r="J541">
        <v>66</v>
      </c>
      <c r="K541">
        <v>78</v>
      </c>
    </row>
    <row r="542" spans="1:11" x14ac:dyDescent="0.3">
      <c r="A542" t="s">
        <v>284</v>
      </c>
      <c r="B542" t="s">
        <v>285</v>
      </c>
      <c r="C542">
        <v>105</v>
      </c>
      <c r="D542" t="s">
        <v>28</v>
      </c>
      <c r="E542" s="1">
        <v>45374</v>
      </c>
      <c r="G542">
        <v>1100</v>
      </c>
      <c r="J542">
        <v>67</v>
      </c>
      <c r="K542">
        <v>96</v>
      </c>
    </row>
    <row r="543" spans="1:11" x14ac:dyDescent="0.3">
      <c r="A543" t="s">
        <v>198</v>
      </c>
      <c r="B543" t="s">
        <v>199</v>
      </c>
      <c r="C543">
        <v>89</v>
      </c>
      <c r="D543" t="s">
        <v>28</v>
      </c>
      <c r="E543" s="1">
        <v>45609</v>
      </c>
      <c r="J543">
        <v>87</v>
      </c>
      <c r="K543">
        <v>98</v>
      </c>
    </row>
    <row r="544" spans="1:11" x14ac:dyDescent="0.3">
      <c r="A544" t="s">
        <v>1322</v>
      </c>
      <c r="B544" t="s">
        <v>1323</v>
      </c>
      <c r="C544">
        <v>105</v>
      </c>
      <c r="D544" t="s">
        <v>28</v>
      </c>
      <c r="E544" s="1">
        <v>45068</v>
      </c>
      <c r="J544">
        <v>52</v>
      </c>
      <c r="K544">
        <v>66</v>
      </c>
    </row>
    <row r="545" spans="1:11" x14ac:dyDescent="0.3">
      <c r="A545" t="s">
        <v>818</v>
      </c>
      <c r="B545" t="s">
        <v>819</v>
      </c>
      <c r="C545">
        <v>86</v>
      </c>
      <c r="D545" t="s">
        <v>28</v>
      </c>
      <c r="E545" s="1">
        <v>44694</v>
      </c>
      <c r="J545">
        <v>74</v>
      </c>
      <c r="K545">
        <v>85</v>
      </c>
    </row>
    <row r="546" spans="1:11" x14ac:dyDescent="0.3">
      <c r="A546" t="s">
        <v>348</v>
      </c>
      <c r="B546" t="s">
        <v>349</v>
      </c>
      <c r="C546">
        <v>98</v>
      </c>
      <c r="D546" t="s">
        <v>28</v>
      </c>
      <c r="E546" s="1">
        <v>45174</v>
      </c>
      <c r="J546">
        <v>78</v>
      </c>
      <c r="K546">
        <v>95</v>
      </c>
    </row>
    <row r="547" spans="1:11" x14ac:dyDescent="0.3">
      <c r="A547" t="s">
        <v>1050</v>
      </c>
      <c r="B547" t="s">
        <v>1051</v>
      </c>
      <c r="C547">
        <v>108</v>
      </c>
      <c r="D547" t="s">
        <v>15</v>
      </c>
      <c r="E547" s="1">
        <v>45009</v>
      </c>
      <c r="J547">
        <v>64</v>
      </c>
      <c r="K547">
        <v>77</v>
      </c>
    </row>
    <row r="548" spans="1:11" x14ac:dyDescent="0.3">
      <c r="A548" t="s">
        <v>1880</v>
      </c>
      <c r="B548" t="s">
        <v>1881</v>
      </c>
      <c r="C548">
        <v>111</v>
      </c>
      <c r="D548" t="s">
        <v>28</v>
      </c>
      <c r="E548" s="1">
        <v>44939</v>
      </c>
      <c r="J548">
        <v>37</v>
      </c>
      <c r="K548">
        <v>27</v>
      </c>
    </row>
    <row r="549" spans="1:11" x14ac:dyDescent="0.3">
      <c r="A549" t="s">
        <v>1254</v>
      </c>
      <c r="B549" t="s">
        <v>1255</v>
      </c>
      <c r="C549">
        <v>107</v>
      </c>
      <c r="D549" t="s">
        <v>28</v>
      </c>
      <c r="E549" s="1">
        <v>44827</v>
      </c>
      <c r="J549">
        <v>51</v>
      </c>
      <c r="K549">
        <v>69</v>
      </c>
    </row>
    <row r="550" spans="1:11" x14ac:dyDescent="0.3">
      <c r="A550" t="s">
        <v>1682</v>
      </c>
      <c r="B550" t="s">
        <v>1683</v>
      </c>
      <c r="C550">
        <v>113</v>
      </c>
      <c r="D550" t="s">
        <v>28</v>
      </c>
      <c r="E550" s="1">
        <v>44841</v>
      </c>
      <c r="J550">
        <v>54</v>
      </c>
      <c r="K550">
        <v>42</v>
      </c>
    </row>
    <row r="551" spans="1:11" x14ac:dyDescent="0.3">
      <c r="A551" t="s">
        <v>1726</v>
      </c>
      <c r="B551" t="s">
        <v>1727</v>
      </c>
      <c r="C551">
        <v>107</v>
      </c>
      <c r="D551" t="s">
        <v>15</v>
      </c>
      <c r="E551" s="1">
        <v>45114</v>
      </c>
      <c r="J551">
        <v>45</v>
      </c>
      <c r="K551">
        <v>39</v>
      </c>
    </row>
    <row r="552" spans="1:11" x14ac:dyDescent="0.3">
      <c r="A552" t="s">
        <v>1440</v>
      </c>
      <c r="B552" t="s">
        <v>1441</v>
      </c>
      <c r="C552">
        <v>93</v>
      </c>
      <c r="D552" t="s">
        <v>28</v>
      </c>
      <c r="E552" s="1">
        <v>45030</v>
      </c>
      <c r="J552">
        <v>53</v>
      </c>
      <c r="K552">
        <v>58</v>
      </c>
    </row>
    <row r="553" spans="1:11" x14ac:dyDescent="0.3">
      <c r="A553" t="s">
        <v>1218</v>
      </c>
      <c r="B553" t="s">
        <v>1219</v>
      </c>
      <c r="C553">
        <v>154</v>
      </c>
      <c r="D553" t="s">
        <v>15</v>
      </c>
      <c r="E553" s="1">
        <v>45107</v>
      </c>
      <c r="J553">
        <v>58</v>
      </c>
      <c r="K553">
        <v>71</v>
      </c>
    </row>
    <row r="554" spans="1:11" x14ac:dyDescent="0.3">
      <c r="A554" t="s">
        <v>1210</v>
      </c>
      <c r="B554" t="s">
        <v>1211</v>
      </c>
      <c r="C554">
        <v>164</v>
      </c>
      <c r="D554" t="s">
        <v>28</v>
      </c>
      <c r="E554" s="1">
        <v>45471</v>
      </c>
      <c r="J554">
        <v>64</v>
      </c>
      <c r="K554">
        <v>71</v>
      </c>
    </row>
    <row r="555" spans="1:11" x14ac:dyDescent="0.3">
      <c r="A555" t="s">
        <v>1016</v>
      </c>
      <c r="B555" t="s">
        <v>1017</v>
      </c>
      <c r="C555">
        <v>116</v>
      </c>
      <c r="D555" t="s">
        <v>28</v>
      </c>
      <c r="E555" s="1">
        <v>45632</v>
      </c>
      <c r="J555">
        <v>67</v>
      </c>
      <c r="K555">
        <v>78</v>
      </c>
    </row>
    <row r="556" spans="1:11" x14ac:dyDescent="0.3">
      <c r="A556" t="s">
        <v>962</v>
      </c>
      <c r="B556" t="s">
        <v>963</v>
      </c>
      <c r="C556">
        <v>103</v>
      </c>
      <c r="D556" t="s">
        <v>15</v>
      </c>
      <c r="E556" s="1">
        <v>44799</v>
      </c>
      <c r="J556">
        <v>66</v>
      </c>
      <c r="K556">
        <v>81</v>
      </c>
    </row>
    <row r="557" spans="1:11" x14ac:dyDescent="0.3">
      <c r="A557" t="s">
        <v>1984</v>
      </c>
      <c r="B557" t="s">
        <v>1985</v>
      </c>
      <c r="C557">
        <v>125</v>
      </c>
      <c r="D557" t="s">
        <v>15</v>
      </c>
      <c r="E557" s="1">
        <v>45730</v>
      </c>
      <c r="J557">
        <v>29</v>
      </c>
      <c r="K557">
        <v>14</v>
      </c>
    </row>
    <row r="558" spans="1:11" x14ac:dyDescent="0.3">
      <c r="A558" t="s">
        <v>850</v>
      </c>
      <c r="B558" t="s">
        <v>851</v>
      </c>
      <c r="C558">
        <v>94</v>
      </c>
      <c r="D558" t="s">
        <v>28</v>
      </c>
      <c r="E558" s="1">
        <v>44869</v>
      </c>
      <c r="J558">
        <v>66</v>
      </c>
      <c r="K558">
        <v>84</v>
      </c>
    </row>
    <row r="559" spans="1:11" x14ac:dyDescent="0.3">
      <c r="A559" t="s">
        <v>689</v>
      </c>
      <c r="B559" t="s">
        <v>690</v>
      </c>
      <c r="C559">
        <v>96</v>
      </c>
      <c r="D559" t="s">
        <v>28</v>
      </c>
      <c r="E559" s="1">
        <v>44715</v>
      </c>
      <c r="J559">
        <v>72</v>
      </c>
      <c r="K559">
        <v>88</v>
      </c>
    </row>
    <row r="560" spans="1:11" x14ac:dyDescent="0.3">
      <c r="A560" t="s">
        <v>871</v>
      </c>
      <c r="B560" t="s">
        <v>872</v>
      </c>
      <c r="C560">
        <v>106</v>
      </c>
      <c r="D560" t="s">
        <v>28</v>
      </c>
      <c r="E560" s="1">
        <v>45247</v>
      </c>
      <c r="J560">
        <v>63</v>
      </c>
      <c r="K560">
        <v>83</v>
      </c>
    </row>
    <row r="561" spans="1:11" x14ac:dyDescent="0.3">
      <c r="A561" t="s">
        <v>74</v>
      </c>
      <c r="B561" t="s">
        <v>75</v>
      </c>
      <c r="C561">
        <v>103</v>
      </c>
      <c r="D561" t="s">
        <v>28</v>
      </c>
      <c r="E561" s="1">
        <v>45569</v>
      </c>
      <c r="J561">
        <v>56</v>
      </c>
      <c r="K561">
        <v>80</v>
      </c>
    </row>
    <row r="562" spans="1:11" x14ac:dyDescent="0.3">
      <c r="A562" t="s">
        <v>867</v>
      </c>
      <c r="B562" t="s">
        <v>868</v>
      </c>
      <c r="C562">
        <v>106</v>
      </c>
      <c r="D562" t="s">
        <v>28</v>
      </c>
      <c r="E562" s="1">
        <v>45380</v>
      </c>
      <c r="J562">
        <v>60</v>
      </c>
      <c r="K562">
        <v>83</v>
      </c>
    </row>
    <row r="563" spans="1:11" x14ac:dyDescent="0.3">
      <c r="A563" t="s">
        <v>1032</v>
      </c>
      <c r="B563" t="s">
        <v>1033</v>
      </c>
      <c r="C563">
        <v>112</v>
      </c>
      <c r="D563" t="s">
        <v>15</v>
      </c>
      <c r="E563" s="1">
        <v>44645</v>
      </c>
      <c r="J563">
        <v>60</v>
      </c>
      <c r="K563">
        <v>78</v>
      </c>
    </row>
    <row r="564" spans="1:11" x14ac:dyDescent="0.3">
      <c r="A564" t="s">
        <v>1544</v>
      </c>
      <c r="B564" t="s">
        <v>1545</v>
      </c>
      <c r="C564">
        <v>114</v>
      </c>
      <c r="D564" t="s">
        <v>28</v>
      </c>
      <c r="E564" s="1">
        <v>44988</v>
      </c>
      <c r="J564">
        <v>51</v>
      </c>
      <c r="K564">
        <v>51</v>
      </c>
    </row>
    <row r="565" spans="1:11" x14ac:dyDescent="0.3">
      <c r="A565" t="s">
        <v>95</v>
      </c>
      <c r="B565" t="s">
        <v>96</v>
      </c>
      <c r="C565">
        <v>132</v>
      </c>
      <c r="D565" t="s">
        <v>28</v>
      </c>
      <c r="E565" s="1">
        <v>45609</v>
      </c>
      <c r="J565">
        <v>70</v>
      </c>
      <c r="K565">
        <v>70</v>
      </c>
    </row>
    <row r="566" spans="1:11" x14ac:dyDescent="0.3">
      <c r="A566" t="s">
        <v>942</v>
      </c>
      <c r="B566" t="s">
        <v>943</v>
      </c>
      <c r="C566">
        <v>90</v>
      </c>
      <c r="D566" t="s">
        <v>28</v>
      </c>
      <c r="E566" s="1">
        <v>45590</v>
      </c>
      <c r="J566">
        <v>69</v>
      </c>
      <c r="K566">
        <v>81</v>
      </c>
    </row>
    <row r="567" spans="1:11" x14ac:dyDescent="0.3">
      <c r="A567" t="s">
        <v>332</v>
      </c>
      <c r="B567" t="s">
        <v>333</v>
      </c>
      <c r="C567">
        <v>97</v>
      </c>
      <c r="D567" t="s">
        <v>28</v>
      </c>
      <c r="E567" s="1">
        <v>45667</v>
      </c>
      <c r="J567">
        <v>88</v>
      </c>
      <c r="K567">
        <v>95</v>
      </c>
    </row>
    <row r="568" spans="1:11" x14ac:dyDescent="0.3">
      <c r="A568" t="s">
        <v>1676</v>
      </c>
      <c r="B568" t="s">
        <v>1677</v>
      </c>
      <c r="C568">
        <v>115</v>
      </c>
      <c r="D568" t="s">
        <v>15</v>
      </c>
      <c r="E568" s="1">
        <v>45373</v>
      </c>
      <c r="J568">
        <v>46</v>
      </c>
      <c r="K568">
        <v>42</v>
      </c>
    </row>
    <row r="569" spans="1:11" x14ac:dyDescent="0.3">
      <c r="A569" t="s">
        <v>1090</v>
      </c>
      <c r="B569" t="s">
        <v>1091</v>
      </c>
      <c r="C569">
        <v>105</v>
      </c>
      <c r="D569" t="s">
        <v>15</v>
      </c>
      <c r="E569" s="1">
        <v>45100</v>
      </c>
      <c r="J569">
        <v>76</v>
      </c>
      <c r="K569">
        <v>76</v>
      </c>
    </row>
    <row r="570" spans="1:11" x14ac:dyDescent="0.3">
      <c r="A570" t="s">
        <v>892</v>
      </c>
      <c r="B570" t="s">
        <v>893</v>
      </c>
      <c r="C570">
        <v>110</v>
      </c>
      <c r="D570" t="s">
        <v>28</v>
      </c>
      <c r="E570" s="1">
        <v>45582</v>
      </c>
      <c r="J570">
        <v>62</v>
      </c>
      <c r="K570">
        <v>82</v>
      </c>
    </row>
    <row r="571" spans="1:11" x14ac:dyDescent="0.3">
      <c r="A571" t="s">
        <v>1064</v>
      </c>
      <c r="B571" t="s">
        <v>1065</v>
      </c>
      <c r="C571">
        <v>124</v>
      </c>
      <c r="D571" t="s">
        <v>28</v>
      </c>
      <c r="E571" s="1">
        <v>45637</v>
      </c>
      <c r="J571">
        <v>63</v>
      </c>
      <c r="K571">
        <v>76</v>
      </c>
    </row>
    <row r="572" spans="1:11" x14ac:dyDescent="0.3">
      <c r="A572" t="s">
        <v>1839</v>
      </c>
      <c r="B572" t="s">
        <v>1840</v>
      </c>
      <c r="C572">
        <v>114</v>
      </c>
      <c r="D572" t="s">
        <v>15</v>
      </c>
      <c r="E572" s="1">
        <v>45674</v>
      </c>
      <c r="J572">
        <v>46</v>
      </c>
      <c r="K572">
        <v>30</v>
      </c>
    </row>
    <row r="573" spans="1:11" x14ac:dyDescent="0.3">
      <c r="A573" t="s">
        <v>1120</v>
      </c>
      <c r="B573" t="s">
        <v>1121</v>
      </c>
      <c r="C573">
        <v>88</v>
      </c>
      <c r="D573" t="s">
        <v>28</v>
      </c>
      <c r="E573" s="1">
        <v>45219</v>
      </c>
      <c r="J573">
        <v>50</v>
      </c>
      <c r="K573">
        <v>75</v>
      </c>
    </row>
    <row r="574" spans="1:11" x14ac:dyDescent="0.3">
      <c r="A574" t="s">
        <v>1821</v>
      </c>
      <c r="B574" t="s">
        <v>1822</v>
      </c>
      <c r="C574">
        <v>107</v>
      </c>
      <c r="D574" t="s">
        <v>15</v>
      </c>
      <c r="E574" s="1">
        <v>45303</v>
      </c>
      <c r="J574">
        <v>40</v>
      </c>
      <c r="K574">
        <v>31</v>
      </c>
    </row>
    <row r="575" spans="1:11" x14ac:dyDescent="0.3">
      <c r="A575" t="s">
        <v>1978</v>
      </c>
      <c r="B575" t="s">
        <v>1979</v>
      </c>
      <c r="C575">
        <v>127</v>
      </c>
      <c r="D575" t="s">
        <v>28</v>
      </c>
      <c r="E575" s="1">
        <v>45639</v>
      </c>
      <c r="J575">
        <v>35</v>
      </c>
      <c r="K575">
        <v>15</v>
      </c>
    </row>
    <row r="576" spans="1:11" x14ac:dyDescent="0.3">
      <c r="A576" t="s">
        <v>1742</v>
      </c>
      <c r="B576" t="s">
        <v>1743</v>
      </c>
      <c r="C576">
        <v>123</v>
      </c>
      <c r="D576" t="s">
        <v>15</v>
      </c>
      <c r="E576" s="1">
        <v>45135</v>
      </c>
      <c r="J576">
        <v>47</v>
      </c>
      <c r="K576">
        <v>38</v>
      </c>
    </row>
    <row r="577" spans="1:11" x14ac:dyDescent="0.3">
      <c r="A577" t="s">
        <v>480</v>
      </c>
      <c r="B577" t="s">
        <v>481</v>
      </c>
      <c r="C577">
        <v>112</v>
      </c>
      <c r="D577" t="s">
        <v>28</v>
      </c>
      <c r="E577" s="1">
        <v>44839</v>
      </c>
      <c r="J577">
        <v>86</v>
      </c>
      <c r="K577">
        <v>93</v>
      </c>
    </row>
    <row r="578" spans="1:11" x14ac:dyDescent="0.3">
      <c r="A578" t="s">
        <v>1561</v>
      </c>
      <c r="B578" t="s">
        <v>1562</v>
      </c>
      <c r="C578">
        <v>130</v>
      </c>
      <c r="D578" t="s">
        <v>15</v>
      </c>
      <c r="E578" s="1">
        <v>45002</v>
      </c>
      <c r="J578">
        <v>47</v>
      </c>
      <c r="K578">
        <v>49</v>
      </c>
    </row>
    <row r="579" spans="1:11" x14ac:dyDescent="0.3">
      <c r="A579" t="s">
        <v>468</v>
      </c>
      <c r="B579" t="s">
        <v>469</v>
      </c>
      <c r="C579">
        <v>123</v>
      </c>
      <c r="D579" t="s">
        <v>28</v>
      </c>
      <c r="E579" s="1">
        <v>45191</v>
      </c>
      <c r="J579">
        <v>68</v>
      </c>
      <c r="K579">
        <v>93</v>
      </c>
    </row>
    <row r="580" spans="1:11" x14ac:dyDescent="0.3">
      <c r="A580" t="s">
        <v>558</v>
      </c>
      <c r="B580" t="s">
        <v>559</v>
      </c>
      <c r="C580">
        <v>103</v>
      </c>
      <c r="D580" t="s">
        <v>15</v>
      </c>
      <c r="E580" s="1">
        <v>45163</v>
      </c>
      <c r="J580">
        <v>71</v>
      </c>
      <c r="K580">
        <v>91</v>
      </c>
    </row>
    <row r="581" spans="1:11" x14ac:dyDescent="0.3">
      <c r="A581" t="s">
        <v>406</v>
      </c>
      <c r="B581" t="s">
        <v>407</v>
      </c>
      <c r="C581">
        <v>83</v>
      </c>
      <c r="D581" t="s">
        <v>63</v>
      </c>
      <c r="E581" s="1">
        <v>45075</v>
      </c>
      <c r="J581">
        <v>84</v>
      </c>
      <c r="K581">
        <v>94</v>
      </c>
    </row>
    <row r="582" spans="1:11" x14ac:dyDescent="0.3">
      <c r="A582" t="s">
        <v>1476</v>
      </c>
      <c r="B582" t="s">
        <v>1477</v>
      </c>
      <c r="C582">
        <v>104</v>
      </c>
      <c r="D582" t="s">
        <v>15</v>
      </c>
      <c r="E582" s="1">
        <v>44855</v>
      </c>
      <c r="J582">
        <v>50</v>
      </c>
      <c r="K582">
        <v>56</v>
      </c>
    </row>
    <row r="583" spans="1:11" x14ac:dyDescent="0.3">
      <c r="A583" t="s">
        <v>1609</v>
      </c>
      <c r="B583" t="s">
        <v>1610</v>
      </c>
      <c r="C583">
        <v>104</v>
      </c>
      <c r="D583" t="s">
        <v>15</v>
      </c>
      <c r="E583" s="1">
        <v>45247</v>
      </c>
      <c r="J583">
        <v>44</v>
      </c>
      <c r="K583">
        <v>46</v>
      </c>
    </row>
    <row r="584" spans="1:11" x14ac:dyDescent="0.3">
      <c r="A584" t="s">
        <v>1042</v>
      </c>
      <c r="B584" t="s">
        <v>1043</v>
      </c>
      <c r="C584">
        <v>180</v>
      </c>
      <c r="D584" t="s">
        <v>18</v>
      </c>
      <c r="E584" s="1">
        <v>45470</v>
      </c>
      <c r="J584">
        <v>65</v>
      </c>
      <c r="K584">
        <v>77</v>
      </c>
    </row>
    <row r="585" spans="1:11" x14ac:dyDescent="0.3">
      <c r="A585" t="s">
        <v>578</v>
      </c>
      <c r="B585" t="s">
        <v>579</v>
      </c>
      <c r="C585">
        <v>88</v>
      </c>
      <c r="D585" t="s">
        <v>28</v>
      </c>
      <c r="E585" s="1">
        <v>44652</v>
      </c>
      <c r="J585">
        <v>72</v>
      </c>
      <c r="K585">
        <v>91</v>
      </c>
    </row>
    <row r="586" spans="1:11" x14ac:dyDescent="0.3">
      <c r="A586" t="s">
        <v>1488</v>
      </c>
      <c r="B586" t="s">
        <v>1489</v>
      </c>
      <c r="C586">
        <v>91</v>
      </c>
      <c r="D586" t="s">
        <v>28</v>
      </c>
      <c r="E586" s="1">
        <v>45622</v>
      </c>
      <c r="J586">
        <v>50</v>
      </c>
      <c r="K586">
        <v>55</v>
      </c>
    </row>
    <row r="587" spans="1:11" x14ac:dyDescent="0.3">
      <c r="A587" t="s">
        <v>66</v>
      </c>
      <c r="B587" t="s">
        <v>67</v>
      </c>
      <c r="C587">
        <v>92</v>
      </c>
      <c r="D587" t="s">
        <v>28</v>
      </c>
      <c r="E587" s="1">
        <v>44869</v>
      </c>
      <c r="J587">
        <v>82</v>
      </c>
      <c r="K587">
        <v>84</v>
      </c>
    </row>
    <row r="588" spans="1:11" x14ac:dyDescent="0.3">
      <c r="A588" t="s">
        <v>854</v>
      </c>
      <c r="B588" t="s">
        <v>855</v>
      </c>
      <c r="C588">
        <v>88</v>
      </c>
      <c r="D588" t="s">
        <v>28</v>
      </c>
      <c r="E588" s="1">
        <v>45667</v>
      </c>
      <c r="J588">
        <v>66</v>
      </c>
      <c r="K588">
        <v>83</v>
      </c>
    </row>
    <row r="589" spans="1:11" x14ac:dyDescent="0.3">
      <c r="A589" t="s">
        <v>653</v>
      </c>
      <c r="B589" t="s">
        <v>654</v>
      </c>
      <c r="C589">
        <v>124</v>
      </c>
      <c r="D589" t="s">
        <v>28</v>
      </c>
      <c r="E589" s="1">
        <v>45701</v>
      </c>
      <c r="J589">
        <v>72</v>
      </c>
      <c r="K589">
        <v>88</v>
      </c>
    </row>
    <row r="590" spans="1:11" x14ac:dyDescent="0.3">
      <c r="A590" t="s">
        <v>976</v>
      </c>
      <c r="B590" t="s">
        <v>977</v>
      </c>
      <c r="C590">
        <v>108</v>
      </c>
      <c r="D590" t="s">
        <v>28</v>
      </c>
      <c r="E590" s="1">
        <v>45541</v>
      </c>
      <c r="J590">
        <v>55</v>
      </c>
      <c r="K590">
        <v>80</v>
      </c>
    </row>
    <row r="591" spans="1:11" x14ac:dyDescent="0.3">
      <c r="A591" t="s">
        <v>651</v>
      </c>
      <c r="B591" t="s">
        <v>652</v>
      </c>
      <c r="C591">
        <v>96</v>
      </c>
      <c r="D591" t="s">
        <v>12</v>
      </c>
      <c r="E591" s="1">
        <v>44624</v>
      </c>
      <c r="J591">
        <v>78</v>
      </c>
      <c r="K591">
        <v>89</v>
      </c>
    </row>
    <row r="592" spans="1:11" x14ac:dyDescent="0.3">
      <c r="A592" t="s">
        <v>1605</v>
      </c>
      <c r="B592" t="s">
        <v>1606</v>
      </c>
      <c r="C592">
        <v>104</v>
      </c>
      <c r="D592" t="s">
        <v>28</v>
      </c>
      <c r="E592" s="1">
        <v>45548</v>
      </c>
      <c r="J592">
        <v>36</v>
      </c>
      <c r="K592">
        <v>46</v>
      </c>
    </row>
    <row r="593" spans="1:11" x14ac:dyDescent="0.3">
      <c r="A593" t="s">
        <v>539</v>
      </c>
      <c r="B593" t="s">
        <v>540</v>
      </c>
      <c r="C593">
        <v>95</v>
      </c>
      <c r="D593" t="s">
        <v>28</v>
      </c>
      <c r="E593" s="1">
        <v>45583</v>
      </c>
      <c r="J593">
        <v>74</v>
      </c>
      <c r="K593">
        <v>91</v>
      </c>
    </row>
    <row r="594" spans="1:11" x14ac:dyDescent="0.3">
      <c r="A594" t="s">
        <v>1522</v>
      </c>
      <c r="B594" t="s">
        <v>1523</v>
      </c>
      <c r="C594">
        <v>107</v>
      </c>
      <c r="D594" t="s">
        <v>28</v>
      </c>
      <c r="E594" s="1">
        <v>45744</v>
      </c>
      <c r="G594">
        <v>711</v>
      </c>
      <c r="J594">
        <v>55</v>
      </c>
      <c r="K594">
        <v>52</v>
      </c>
    </row>
    <row r="595" spans="1:11" x14ac:dyDescent="0.3">
      <c r="A595" t="s">
        <v>274</v>
      </c>
      <c r="B595" t="s">
        <v>275</v>
      </c>
      <c r="C595">
        <v>87</v>
      </c>
      <c r="D595" t="s">
        <v>28</v>
      </c>
      <c r="E595" s="1">
        <v>45722</v>
      </c>
      <c r="G595">
        <v>1100</v>
      </c>
      <c r="I595">
        <v>18</v>
      </c>
      <c r="J595">
        <v>73</v>
      </c>
      <c r="K595">
        <v>96</v>
      </c>
    </row>
    <row r="596" spans="1:11" x14ac:dyDescent="0.3">
      <c r="A596" t="s">
        <v>1956</v>
      </c>
      <c r="B596" t="s">
        <v>1957</v>
      </c>
      <c r="C596">
        <v>141</v>
      </c>
      <c r="D596" t="s">
        <v>28</v>
      </c>
      <c r="E596" s="1">
        <v>44918</v>
      </c>
      <c r="I596">
        <v>25</v>
      </c>
      <c r="J596">
        <v>41</v>
      </c>
      <c r="K596">
        <v>20</v>
      </c>
    </row>
    <row r="597" spans="1:11" x14ac:dyDescent="0.3">
      <c r="A597" t="s">
        <v>1006</v>
      </c>
      <c r="B597" t="s">
        <v>1007</v>
      </c>
      <c r="C597">
        <v>104</v>
      </c>
      <c r="D597" t="s">
        <v>15</v>
      </c>
      <c r="E597" s="1">
        <v>45205</v>
      </c>
      <c r="G597">
        <v>852</v>
      </c>
      <c r="I597">
        <v>37</v>
      </c>
      <c r="J597">
        <v>74</v>
      </c>
      <c r="K597">
        <v>79</v>
      </c>
    </row>
    <row r="598" spans="1:11" x14ac:dyDescent="0.3">
      <c r="A598" t="s">
        <v>1070</v>
      </c>
      <c r="B598" t="s">
        <v>1071</v>
      </c>
      <c r="C598">
        <v>110</v>
      </c>
      <c r="D598" t="s">
        <v>25</v>
      </c>
      <c r="E598" s="1">
        <v>45590</v>
      </c>
      <c r="G598">
        <v>1600</v>
      </c>
      <c r="I598">
        <v>47</v>
      </c>
      <c r="J598">
        <v>53</v>
      </c>
      <c r="K598">
        <v>76</v>
      </c>
    </row>
    <row r="599" spans="1:11" x14ac:dyDescent="0.3">
      <c r="A599" t="s">
        <v>906</v>
      </c>
      <c r="B599" t="s">
        <v>907</v>
      </c>
      <c r="C599">
        <v>141</v>
      </c>
      <c r="D599" t="s">
        <v>15</v>
      </c>
      <c r="E599" s="1">
        <v>45310</v>
      </c>
      <c r="J599">
        <v>75</v>
      </c>
      <c r="K599">
        <v>82</v>
      </c>
    </row>
    <row r="600" spans="1:11" x14ac:dyDescent="0.3">
      <c r="A600" t="s">
        <v>517</v>
      </c>
      <c r="B600" t="s">
        <v>518</v>
      </c>
      <c r="C600">
        <v>117</v>
      </c>
      <c r="D600" t="s">
        <v>28</v>
      </c>
      <c r="E600" s="1">
        <v>45118</v>
      </c>
      <c r="J600">
        <v>78</v>
      </c>
      <c r="K600">
        <v>92</v>
      </c>
    </row>
    <row r="601" spans="1:11" x14ac:dyDescent="0.3">
      <c r="A601" t="s">
        <v>743</v>
      </c>
      <c r="B601" t="s">
        <v>744</v>
      </c>
      <c r="C601">
        <v>189</v>
      </c>
      <c r="D601" t="s">
        <v>25</v>
      </c>
      <c r="E601" s="1">
        <v>45275</v>
      </c>
      <c r="J601">
        <v>85</v>
      </c>
      <c r="K601">
        <v>86</v>
      </c>
    </row>
    <row r="602" spans="1:11" x14ac:dyDescent="0.3">
      <c r="A602" t="s">
        <v>1092</v>
      </c>
      <c r="B602" t="s">
        <v>1093</v>
      </c>
      <c r="C602">
        <v>108</v>
      </c>
      <c r="D602" t="s">
        <v>15</v>
      </c>
      <c r="E602" s="1">
        <v>45022</v>
      </c>
      <c r="J602">
        <v>67</v>
      </c>
      <c r="K602">
        <v>76</v>
      </c>
    </row>
    <row r="603" spans="1:11" x14ac:dyDescent="0.3">
      <c r="A603" t="s">
        <v>990</v>
      </c>
      <c r="B603" t="s">
        <v>991</v>
      </c>
      <c r="C603">
        <v>117</v>
      </c>
      <c r="D603" t="s">
        <v>15</v>
      </c>
      <c r="E603" s="1">
        <v>44728</v>
      </c>
      <c r="J603">
        <v>65</v>
      </c>
      <c r="K603">
        <v>80</v>
      </c>
    </row>
    <row r="604" spans="1:11" x14ac:dyDescent="0.3">
      <c r="A604" t="s">
        <v>1400</v>
      </c>
      <c r="B604" t="s">
        <v>1401</v>
      </c>
      <c r="C604">
        <v>112</v>
      </c>
      <c r="D604" t="s">
        <v>28</v>
      </c>
      <c r="E604" s="1">
        <v>45527</v>
      </c>
      <c r="J604">
        <v>45</v>
      </c>
      <c r="K604">
        <v>60</v>
      </c>
    </row>
    <row r="605" spans="1:11" x14ac:dyDescent="0.3">
      <c r="A605" t="s">
        <v>920</v>
      </c>
      <c r="B605" t="s">
        <v>921</v>
      </c>
      <c r="C605">
        <v>146</v>
      </c>
      <c r="D605" t="s">
        <v>18</v>
      </c>
      <c r="E605" s="1">
        <v>44951</v>
      </c>
      <c r="J605">
        <v>47</v>
      </c>
      <c r="K605">
        <v>82</v>
      </c>
    </row>
    <row r="606" spans="1:11" x14ac:dyDescent="0.3">
      <c r="A606" t="s">
        <v>1764</v>
      </c>
      <c r="B606" t="s">
        <v>1765</v>
      </c>
      <c r="C606">
        <v>107</v>
      </c>
      <c r="D606" t="s">
        <v>12</v>
      </c>
      <c r="E606" s="1">
        <v>44638</v>
      </c>
      <c r="J606">
        <v>42</v>
      </c>
      <c r="K606">
        <v>36</v>
      </c>
    </row>
    <row r="607" spans="1:11" x14ac:dyDescent="0.3">
      <c r="A607" t="s">
        <v>1056</v>
      </c>
      <c r="B607" t="s">
        <v>1057</v>
      </c>
      <c r="C607">
        <v>114</v>
      </c>
      <c r="D607" t="s">
        <v>28</v>
      </c>
      <c r="E607" s="1">
        <v>44869</v>
      </c>
      <c r="J607">
        <v>74</v>
      </c>
      <c r="K607">
        <v>77</v>
      </c>
    </row>
    <row r="608" spans="1:11" x14ac:dyDescent="0.3">
      <c r="A608" t="s">
        <v>1573</v>
      </c>
      <c r="B608" t="s">
        <v>1574</v>
      </c>
      <c r="C608">
        <v>112</v>
      </c>
      <c r="D608" t="s">
        <v>28</v>
      </c>
      <c r="E608" s="1">
        <v>44967</v>
      </c>
      <c r="J608">
        <v>52</v>
      </c>
      <c r="K608">
        <v>48</v>
      </c>
    </row>
    <row r="609" spans="1:11" x14ac:dyDescent="0.3">
      <c r="A609" t="s">
        <v>761</v>
      </c>
      <c r="B609" t="s">
        <v>762</v>
      </c>
      <c r="C609">
        <v>118</v>
      </c>
      <c r="D609" t="s">
        <v>63</v>
      </c>
      <c r="E609" s="1">
        <v>44820</v>
      </c>
      <c r="J609">
        <v>66</v>
      </c>
      <c r="K609">
        <v>86</v>
      </c>
    </row>
    <row r="610" spans="1:11" x14ac:dyDescent="0.3">
      <c r="A610" t="s">
        <v>2002</v>
      </c>
      <c r="B610" t="s">
        <v>2003</v>
      </c>
      <c r="C610">
        <v>108</v>
      </c>
      <c r="D610" t="s">
        <v>28</v>
      </c>
      <c r="E610" s="1">
        <v>45226</v>
      </c>
      <c r="J610">
        <v>26</v>
      </c>
      <c r="K610">
        <v>10</v>
      </c>
    </row>
    <row r="611" spans="1:11" x14ac:dyDescent="0.3">
      <c r="A611" t="s">
        <v>1154</v>
      </c>
      <c r="B611" t="s">
        <v>1155</v>
      </c>
      <c r="C611">
        <v>130</v>
      </c>
      <c r="D611" t="s">
        <v>28</v>
      </c>
      <c r="E611" s="1">
        <v>45285</v>
      </c>
      <c r="J611">
        <v>73</v>
      </c>
      <c r="K611">
        <v>73</v>
      </c>
    </row>
    <row r="612" spans="1:11" x14ac:dyDescent="0.3">
      <c r="A612" t="s">
        <v>1388</v>
      </c>
      <c r="B612" t="s">
        <v>1389</v>
      </c>
      <c r="C612">
        <v>127</v>
      </c>
      <c r="D612" t="s">
        <v>15</v>
      </c>
      <c r="E612" s="1">
        <v>44603</v>
      </c>
      <c r="J612">
        <v>52</v>
      </c>
      <c r="K612">
        <v>62</v>
      </c>
    </row>
    <row r="613" spans="1:11" x14ac:dyDescent="0.3">
      <c r="A613" t="s">
        <v>1366</v>
      </c>
      <c r="B613" t="s">
        <v>1367</v>
      </c>
      <c r="C613">
        <v>118</v>
      </c>
      <c r="D613" t="s">
        <v>15</v>
      </c>
      <c r="E613" s="1">
        <v>44750</v>
      </c>
      <c r="J613">
        <v>57</v>
      </c>
      <c r="K613">
        <v>63</v>
      </c>
    </row>
    <row r="614" spans="1:11" x14ac:dyDescent="0.3">
      <c r="A614" t="s">
        <v>1589</v>
      </c>
      <c r="B614" t="s">
        <v>1590</v>
      </c>
      <c r="C614">
        <v>104</v>
      </c>
      <c r="D614" t="s">
        <v>15</v>
      </c>
      <c r="E614" s="1">
        <v>44839</v>
      </c>
      <c r="J614">
        <v>55</v>
      </c>
      <c r="K614">
        <v>47</v>
      </c>
    </row>
    <row r="615" spans="1:11" x14ac:dyDescent="0.3">
      <c r="A615" t="s">
        <v>360</v>
      </c>
      <c r="B615" t="s">
        <v>361</v>
      </c>
      <c r="C615">
        <v>104</v>
      </c>
      <c r="D615" t="s">
        <v>28</v>
      </c>
      <c r="E615" s="1">
        <v>45023</v>
      </c>
      <c r="J615">
        <v>76</v>
      </c>
      <c r="K615">
        <v>95</v>
      </c>
    </row>
    <row r="616" spans="1:11" x14ac:dyDescent="0.3">
      <c r="A616" t="s">
        <v>1583</v>
      </c>
      <c r="B616" t="s">
        <v>1584</v>
      </c>
      <c r="C616">
        <v>106</v>
      </c>
      <c r="D616" t="s">
        <v>12</v>
      </c>
      <c r="E616" s="1">
        <v>45260</v>
      </c>
      <c r="J616">
        <v>37</v>
      </c>
      <c r="K616">
        <v>47</v>
      </c>
    </row>
    <row r="617" spans="1:11" x14ac:dyDescent="0.3">
      <c r="A617" t="s">
        <v>374</v>
      </c>
      <c r="B617" t="s">
        <v>375</v>
      </c>
      <c r="C617">
        <v>104</v>
      </c>
      <c r="D617" t="s">
        <v>25</v>
      </c>
      <c r="E617" s="1">
        <v>45737</v>
      </c>
      <c r="G617">
        <v>1700</v>
      </c>
      <c r="J617">
        <v>80</v>
      </c>
      <c r="K617">
        <v>94</v>
      </c>
    </row>
    <row r="618" spans="1:11" x14ac:dyDescent="0.3">
      <c r="A618" t="s">
        <v>1406</v>
      </c>
      <c r="B618" t="s">
        <v>1407</v>
      </c>
      <c r="C618">
        <v>98</v>
      </c>
      <c r="D618" t="s">
        <v>15</v>
      </c>
      <c r="E618" s="1">
        <v>45079</v>
      </c>
      <c r="J618">
        <v>55</v>
      </c>
      <c r="K618">
        <v>60</v>
      </c>
    </row>
    <row r="619" spans="1:11" x14ac:dyDescent="0.3">
      <c r="A619" t="s">
        <v>1928</v>
      </c>
      <c r="B619" t="s">
        <v>1929</v>
      </c>
      <c r="C619">
        <v>110</v>
      </c>
      <c r="D619" t="s">
        <v>15</v>
      </c>
      <c r="E619" s="1">
        <v>44736</v>
      </c>
      <c r="J619">
        <v>34</v>
      </c>
      <c r="K619">
        <v>24</v>
      </c>
    </row>
    <row r="620" spans="1:11" x14ac:dyDescent="0.3">
      <c r="A620" t="s">
        <v>1878</v>
      </c>
      <c r="B620" t="s">
        <v>1879</v>
      </c>
      <c r="C620">
        <v>116</v>
      </c>
      <c r="D620" t="s">
        <v>15</v>
      </c>
      <c r="E620" s="1">
        <v>45142</v>
      </c>
      <c r="J620">
        <v>40</v>
      </c>
      <c r="K620">
        <v>27</v>
      </c>
    </row>
    <row r="621" spans="1:11" x14ac:dyDescent="0.3">
      <c r="A621" t="s">
        <v>1158</v>
      </c>
      <c r="B621" t="s">
        <v>1159</v>
      </c>
      <c r="C621">
        <v>138</v>
      </c>
      <c r="D621" t="s">
        <v>28</v>
      </c>
      <c r="E621" s="1">
        <v>45268</v>
      </c>
      <c r="J621">
        <v>68</v>
      </c>
      <c r="K621">
        <v>73</v>
      </c>
    </row>
    <row r="622" spans="1:11" x14ac:dyDescent="0.3">
      <c r="A622" t="s">
        <v>1803</v>
      </c>
      <c r="B622" t="s">
        <v>1804</v>
      </c>
      <c r="C622">
        <v>106</v>
      </c>
      <c r="D622" t="s">
        <v>28</v>
      </c>
      <c r="E622" s="1">
        <v>45519</v>
      </c>
      <c r="J622">
        <v>41</v>
      </c>
      <c r="K622">
        <v>32</v>
      </c>
    </row>
    <row r="623" spans="1:11" x14ac:dyDescent="0.3">
      <c r="A623" t="s">
        <v>1613</v>
      </c>
      <c r="B623" t="s">
        <v>1614</v>
      </c>
      <c r="C623">
        <v>90</v>
      </c>
      <c r="D623" t="s">
        <v>15</v>
      </c>
      <c r="E623" s="1">
        <v>45016</v>
      </c>
      <c r="J623">
        <v>44</v>
      </c>
      <c r="K623">
        <v>46</v>
      </c>
    </row>
    <row r="624" spans="1:11" x14ac:dyDescent="0.3">
      <c r="A624" t="s">
        <v>1708</v>
      </c>
      <c r="B624" t="s">
        <v>1709</v>
      </c>
      <c r="C624">
        <v>109</v>
      </c>
      <c r="D624" t="s">
        <v>28</v>
      </c>
      <c r="E624" s="1">
        <v>45233</v>
      </c>
      <c r="J624">
        <v>47</v>
      </c>
      <c r="K624">
        <v>40</v>
      </c>
    </row>
    <row r="625" spans="1:11" x14ac:dyDescent="0.3">
      <c r="A625" t="s">
        <v>1972</v>
      </c>
      <c r="B625" t="s">
        <v>1973</v>
      </c>
      <c r="C625">
        <v>92</v>
      </c>
      <c r="D625" t="s">
        <v>15</v>
      </c>
      <c r="E625" s="1">
        <v>45415</v>
      </c>
      <c r="J625">
        <v>36</v>
      </c>
      <c r="K625">
        <v>17</v>
      </c>
    </row>
    <row r="626" spans="1:11" x14ac:dyDescent="0.3">
      <c r="A626" t="s">
        <v>124</v>
      </c>
      <c r="B626" t="s">
        <v>125</v>
      </c>
      <c r="C626">
        <v>103</v>
      </c>
      <c r="D626" t="s">
        <v>28</v>
      </c>
      <c r="E626" s="1">
        <v>44652</v>
      </c>
      <c r="J626">
        <v>52</v>
      </c>
      <c r="K626">
        <v>45</v>
      </c>
    </row>
    <row r="627" spans="1:11" x14ac:dyDescent="0.3">
      <c r="A627" t="s">
        <v>402</v>
      </c>
      <c r="B627" t="s">
        <v>403</v>
      </c>
      <c r="C627">
        <v>91</v>
      </c>
      <c r="D627" t="s">
        <v>25</v>
      </c>
      <c r="E627" s="1">
        <v>45205</v>
      </c>
      <c r="J627">
        <v>80</v>
      </c>
      <c r="K627">
        <v>94</v>
      </c>
    </row>
    <row r="628" spans="1:11" x14ac:dyDescent="0.3">
      <c r="A628" t="s">
        <v>1791</v>
      </c>
      <c r="B628" t="s">
        <v>1792</v>
      </c>
      <c r="C628">
        <v>102</v>
      </c>
      <c r="D628" t="s">
        <v>15</v>
      </c>
      <c r="E628" s="1">
        <v>45450</v>
      </c>
      <c r="J628">
        <v>46</v>
      </c>
      <c r="K628">
        <v>33</v>
      </c>
    </row>
    <row r="629" spans="1:11" x14ac:dyDescent="0.3">
      <c r="A629" t="s">
        <v>1128</v>
      </c>
      <c r="B629" t="s">
        <v>1129</v>
      </c>
      <c r="C629">
        <v>98</v>
      </c>
      <c r="D629" t="s">
        <v>15</v>
      </c>
      <c r="E629" s="1">
        <v>44820</v>
      </c>
      <c r="J629">
        <v>60</v>
      </c>
      <c r="K629">
        <v>75</v>
      </c>
    </row>
    <row r="630" spans="1:11" x14ac:dyDescent="0.3">
      <c r="A630" t="s">
        <v>1912</v>
      </c>
      <c r="B630" t="s">
        <v>1913</v>
      </c>
      <c r="C630">
        <v>101</v>
      </c>
      <c r="D630" t="s">
        <v>28</v>
      </c>
      <c r="E630" s="1">
        <v>45723</v>
      </c>
      <c r="G630">
        <v>1500</v>
      </c>
      <c r="J630">
        <v>41</v>
      </c>
      <c r="K630">
        <v>24</v>
      </c>
    </row>
    <row r="631" spans="1:11" x14ac:dyDescent="0.3">
      <c r="A631" t="s">
        <v>272</v>
      </c>
      <c r="B631" t="s">
        <v>273</v>
      </c>
      <c r="C631">
        <v>93</v>
      </c>
      <c r="D631" t="s">
        <v>28</v>
      </c>
      <c r="E631" s="1">
        <v>45730</v>
      </c>
      <c r="J631">
        <v>85</v>
      </c>
      <c r="K631">
        <v>96</v>
      </c>
    </row>
    <row r="632" spans="1:11" x14ac:dyDescent="0.3">
      <c r="A632" t="s">
        <v>1898</v>
      </c>
      <c r="B632" t="s">
        <v>1899</v>
      </c>
      <c r="C632">
        <v>101</v>
      </c>
      <c r="D632" t="s">
        <v>28</v>
      </c>
      <c r="E632" s="1">
        <v>45065</v>
      </c>
      <c r="J632">
        <v>40</v>
      </c>
      <c r="K632">
        <v>26</v>
      </c>
    </row>
    <row r="633" spans="1:11" x14ac:dyDescent="0.3">
      <c r="A633" t="s">
        <v>1432</v>
      </c>
      <c r="B633" t="s">
        <v>1433</v>
      </c>
      <c r="C633">
        <v>121</v>
      </c>
      <c r="D633" t="s">
        <v>28</v>
      </c>
      <c r="E633" s="1">
        <v>45457</v>
      </c>
      <c r="J633">
        <v>54</v>
      </c>
      <c r="K633">
        <v>58</v>
      </c>
    </row>
    <row r="634" spans="1:11" x14ac:dyDescent="0.3">
      <c r="A634" t="s">
        <v>944</v>
      </c>
      <c r="B634" t="s">
        <v>945</v>
      </c>
      <c r="C634">
        <v>86</v>
      </c>
      <c r="D634" t="s">
        <v>28</v>
      </c>
      <c r="E634" s="1">
        <v>45449</v>
      </c>
      <c r="J634">
        <v>72</v>
      </c>
      <c r="K634">
        <v>81</v>
      </c>
    </row>
    <row r="635" spans="1:11" x14ac:dyDescent="0.3">
      <c r="A635" t="s">
        <v>1134</v>
      </c>
      <c r="B635" t="s">
        <v>1135</v>
      </c>
      <c r="C635">
        <v>103</v>
      </c>
      <c r="D635" t="s">
        <v>15</v>
      </c>
      <c r="E635" s="1">
        <v>45436</v>
      </c>
      <c r="G635">
        <v>1700</v>
      </c>
      <c r="I635">
        <v>39</v>
      </c>
      <c r="J635">
        <v>42</v>
      </c>
      <c r="K635">
        <v>74</v>
      </c>
    </row>
    <row r="636" spans="1:11" x14ac:dyDescent="0.3">
      <c r="A636" t="s">
        <v>1258</v>
      </c>
      <c r="B636" t="s">
        <v>1259</v>
      </c>
      <c r="C636">
        <v>159</v>
      </c>
      <c r="D636" t="s">
        <v>15</v>
      </c>
      <c r="E636" s="1">
        <v>44784</v>
      </c>
      <c r="J636">
        <v>46</v>
      </c>
      <c r="K636">
        <v>69</v>
      </c>
    </row>
    <row r="637" spans="1:11" x14ac:dyDescent="0.3">
      <c r="A637" t="s">
        <v>376</v>
      </c>
      <c r="B637" t="s">
        <v>377</v>
      </c>
      <c r="C637">
        <v>103</v>
      </c>
      <c r="D637" t="s">
        <v>28</v>
      </c>
      <c r="E637" s="1">
        <v>45716</v>
      </c>
      <c r="G637">
        <v>1700</v>
      </c>
      <c r="J637">
        <v>75</v>
      </c>
      <c r="K637">
        <v>94</v>
      </c>
    </row>
    <row r="638" spans="1:11" x14ac:dyDescent="0.3">
      <c r="A638" t="s">
        <v>136</v>
      </c>
      <c r="B638" t="s">
        <v>137</v>
      </c>
      <c r="C638">
        <v>93</v>
      </c>
      <c r="D638" t="s">
        <v>28</v>
      </c>
      <c r="E638" s="1">
        <v>45317</v>
      </c>
      <c r="J638">
        <v>41</v>
      </c>
      <c r="K638">
        <v>30</v>
      </c>
    </row>
    <row r="639" spans="1:11" x14ac:dyDescent="0.3">
      <c r="A639" t="s">
        <v>398</v>
      </c>
      <c r="B639" t="s">
        <v>399</v>
      </c>
      <c r="C639">
        <v>93</v>
      </c>
      <c r="D639" t="s">
        <v>28</v>
      </c>
      <c r="E639" s="1">
        <v>45317</v>
      </c>
      <c r="J639">
        <v>80</v>
      </c>
      <c r="K639">
        <v>94</v>
      </c>
    </row>
    <row r="640" spans="1:11" x14ac:dyDescent="0.3">
      <c r="A640" t="s">
        <v>1591</v>
      </c>
      <c r="B640" t="s">
        <v>1592</v>
      </c>
      <c r="C640">
        <v>167</v>
      </c>
      <c r="D640" t="s">
        <v>18</v>
      </c>
      <c r="E640" s="1">
        <v>44813</v>
      </c>
      <c r="J640">
        <v>57</v>
      </c>
      <c r="K640">
        <v>47</v>
      </c>
    </row>
    <row r="641" spans="1:11" x14ac:dyDescent="0.3">
      <c r="A641" t="s">
        <v>1102</v>
      </c>
      <c r="B641" t="s">
        <v>1103</v>
      </c>
      <c r="C641">
        <v>99</v>
      </c>
      <c r="D641" t="s">
        <v>90</v>
      </c>
      <c r="E641" s="1">
        <v>45701</v>
      </c>
      <c r="J641">
        <v>44</v>
      </c>
      <c r="K641">
        <v>75</v>
      </c>
    </row>
    <row r="642" spans="1:11" x14ac:dyDescent="0.3">
      <c r="A642" t="s">
        <v>91</v>
      </c>
      <c r="B642" t="s">
        <v>92</v>
      </c>
      <c r="C642">
        <v>92</v>
      </c>
      <c r="D642" t="s">
        <v>28</v>
      </c>
      <c r="E642" s="1">
        <v>45590</v>
      </c>
      <c r="J642">
        <v>54</v>
      </c>
      <c r="K642">
        <v>75</v>
      </c>
    </row>
    <row r="643" spans="1:11" x14ac:dyDescent="0.3">
      <c r="A643" t="s">
        <v>747</v>
      </c>
      <c r="B643" t="s">
        <v>748</v>
      </c>
      <c r="C643">
        <v>113</v>
      </c>
      <c r="D643" t="s">
        <v>28</v>
      </c>
      <c r="E643" s="1">
        <v>45205</v>
      </c>
      <c r="J643">
        <v>73</v>
      </c>
      <c r="K643">
        <v>86</v>
      </c>
    </row>
    <row r="644" spans="1:11" x14ac:dyDescent="0.3">
      <c r="A644" t="s">
        <v>1276</v>
      </c>
      <c r="B644" t="s">
        <v>1277</v>
      </c>
      <c r="C644">
        <v>90</v>
      </c>
      <c r="D644" t="s">
        <v>15</v>
      </c>
      <c r="E644" s="1">
        <v>45121</v>
      </c>
      <c r="J644">
        <v>49</v>
      </c>
      <c r="K644">
        <v>68</v>
      </c>
    </row>
    <row r="645" spans="1:11" x14ac:dyDescent="0.3">
      <c r="A645" t="s">
        <v>637</v>
      </c>
      <c r="B645" t="s">
        <v>638</v>
      </c>
      <c r="C645">
        <v>84</v>
      </c>
      <c r="D645" t="s">
        <v>28</v>
      </c>
      <c r="E645" s="1">
        <v>45071</v>
      </c>
      <c r="J645">
        <v>51</v>
      </c>
      <c r="K645">
        <v>89</v>
      </c>
    </row>
    <row r="646" spans="1:11" x14ac:dyDescent="0.3">
      <c r="A646" t="s">
        <v>572</v>
      </c>
      <c r="B646" t="s">
        <v>573</v>
      </c>
      <c r="C646">
        <v>114</v>
      </c>
      <c r="D646" t="s">
        <v>18</v>
      </c>
      <c r="E646" s="1">
        <v>44834</v>
      </c>
      <c r="J646">
        <v>70</v>
      </c>
      <c r="K646">
        <v>91</v>
      </c>
    </row>
    <row r="647" spans="1:11" x14ac:dyDescent="0.3">
      <c r="A647" t="s">
        <v>1150</v>
      </c>
      <c r="B647" t="s">
        <v>1151</v>
      </c>
      <c r="C647">
        <v>103</v>
      </c>
      <c r="D647" t="s">
        <v>28</v>
      </c>
      <c r="E647" s="1">
        <v>45478</v>
      </c>
      <c r="J647">
        <v>64</v>
      </c>
      <c r="K647">
        <v>73</v>
      </c>
    </row>
    <row r="648" spans="1:11" x14ac:dyDescent="0.3">
      <c r="A648" t="s">
        <v>114</v>
      </c>
      <c r="B648" t="s">
        <v>115</v>
      </c>
      <c r="C648">
        <v>114</v>
      </c>
      <c r="D648" t="s">
        <v>28</v>
      </c>
      <c r="E648" s="1">
        <v>45534</v>
      </c>
      <c r="G648">
        <v>1100</v>
      </c>
      <c r="I648">
        <v>14</v>
      </c>
      <c r="J648">
        <v>14</v>
      </c>
      <c r="K648">
        <v>50</v>
      </c>
    </row>
    <row r="649" spans="1:11" x14ac:dyDescent="0.3">
      <c r="A649" t="s">
        <v>1228</v>
      </c>
      <c r="B649" t="s">
        <v>1229</v>
      </c>
      <c r="C649">
        <v>92</v>
      </c>
      <c r="D649" t="s">
        <v>18</v>
      </c>
      <c r="E649" s="1">
        <v>44874</v>
      </c>
      <c r="G649">
        <v>541</v>
      </c>
      <c r="I649">
        <v>27</v>
      </c>
      <c r="J649">
        <v>58</v>
      </c>
      <c r="K649">
        <v>71</v>
      </c>
    </row>
    <row r="650" spans="1:11" x14ac:dyDescent="0.3">
      <c r="A650" t="s">
        <v>912</v>
      </c>
      <c r="B650" t="s">
        <v>913</v>
      </c>
      <c r="C650">
        <v>101</v>
      </c>
      <c r="D650" t="s">
        <v>160</v>
      </c>
      <c r="E650" s="1">
        <v>45101</v>
      </c>
      <c r="J650">
        <v>80</v>
      </c>
      <c r="K650">
        <v>82</v>
      </c>
    </row>
    <row r="651" spans="1:11" x14ac:dyDescent="0.3">
      <c r="A651" t="s">
        <v>1148</v>
      </c>
      <c r="B651" t="s">
        <v>1149</v>
      </c>
      <c r="C651">
        <v>118</v>
      </c>
      <c r="D651" t="s">
        <v>28</v>
      </c>
      <c r="E651" s="1">
        <v>45562</v>
      </c>
      <c r="J651">
        <v>61</v>
      </c>
      <c r="K651">
        <v>73</v>
      </c>
    </row>
    <row r="652" spans="1:11" x14ac:dyDescent="0.3">
      <c r="A652" t="s">
        <v>146</v>
      </c>
      <c r="B652" t="s">
        <v>147</v>
      </c>
      <c r="C652">
        <v>141</v>
      </c>
      <c r="D652" t="s">
        <v>15</v>
      </c>
      <c r="E652" s="1">
        <v>45534</v>
      </c>
      <c r="J652">
        <v>22</v>
      </c>
      <c r="K652">
        <v>18</v>
      </c>
    </row>
    <row r="653" spans="1:11" x14ac:dyDescent="0.3">
      <c r="A653" t="s">
        <v>1472</v>
      </c>
      <c r="B653" t="s">
        <v>1473</v>
      </c>
      <c r="C653">
        <v>90</v>
      </c>
      <c r="D653" t="s">
        <v>160</v>
      </c>
      <c r="E653" s="1">
        <v>45252</v>
      </c>
      <c r="J653">
        <v>48</v>
      </c>
      <c r="K653">
        <v>56</v>
      </c>
    </row>
    <row r="654" spans="1:11" x14ac:dyDescent="0.3">
      <c r="A654" t="s">
        <v>810</v>
      </c>
      <c r="B654" t="s">
        <v>811</v>
      </c>
      <c r="C654">
        <v>90</v>
      </c>
      <c r="D654" t="s">
        <v>12</v>
      </c>
      <c r="E654" s="1">
        <v>44834</v>
      </c>
      <c r="J654">
        <v>66</v>
      </c>
      <c r="K654">
        <v>85</v>
      </c>
    </row>
    <row r="655" spans="1:11" x14ac:dyDescent="0.3">
      <c r="A655" t="s">
        <v>1510</v>
      </c>
      <c r="B655" t="s">
        <v>1511</v>
      </c>
      <c r="C655">
        <v>100</v>
      </c>
      <c r="D655" t="s">
        <v>15</v>
      </c>
      <c r="E655" s="1">
        <v>45163</v>
      </c>
      <c r="J655">
        <v>48</v>
      </c>
      <c r="K655">
        <v>54</v>
      </c>
    </row>
    <row r="656" spans="1:11" x14ac:dyDescent="0.3">
      <c r="A656" t="s">
        <v>1611</v>
      </c>
      <c r="B656" t="s">
        <v>1612</v>
      </c>
      <c r="C656">
        <v>107</v>
      </c>
      <c r="D656" t="s">
        <v>15</v>
      </c>
      <c r="E656" s="1">
        <v>45058</v>
      </c>
      <c r="J656">
        <v>46</v>
      </c>
      <c r="K656">
        <v>46</v>
      </c>
    </row>
    <row r="657" spans="1:11" x14ac:dyDescent="0.3">
      <c r="A657" t="s">
        <v>59</v>
      </c>
      <c r="B657" t="s">
        <v>60</v>
      </c>
      <c r="C657">
        <v>99</v>
      </c>
      <c r="D657" t="s">
        <v>18</v>
      </c>
      <c r="E657" s="1">
        <v>44819</v>
      </c>
      <c r="J657">
        <v>70</v>
      </c>
      <c r="K657">
        <v>85</v>
      </c>
    </row>
    <row r="658" spans="1:11" x14ac:dyDescent="0.3">
      <c r="A658" t="s">
        <v>735</v>
      </c>
      <c r="B658" t="s">
        <v>736</v>
      </c>
      <c r="C658">
        <v>146</v>
      </c>
      <c r="D658" t="s">
        <v>25</v>
      </c>
      <c r="E658" s="1">
        <v>45501</v>
      </c>
      <c r="J658">
        <v>80</v>
      </c>
      <c r="K658">
        <v>86</v>
      </c>
    </row>
    <row r="659" spans="1:11" x14ac:dyDescent="0.3">
      <c r="A659" t="s">
        <v>822</v>
      </c>
      <c r="B659" t="s">
        <v>823</v>
      </c>
      <c r="C659">
        <v>123</v>
      </c>
      <c r="D659" t="s">
        <v>15</v>
      </c>
      <c r="E659" s="1">
        <v>44617</v>
      </c>
      <c r="J659">
        <v>66</v>
      </c>
      <c r="K659">
        <v>85</v>
      </c>
    </row>
    <row r="660" spans="1:11" x14ac:dyDescent="0.3">
      <c r="A660" t="s">
        <v>1142</v>
      </c>
      <c r="B660" t="s">
        <v>1143</v>
      </c>
      <c r="C660">
        <v>126</v>
      </c>
      <c r="D660" t="s">
        <v>28</v>
      </c>
      <c r="E660" s="1">
        <v>44827</v>
      </c>
      <c r="J660">
        <v>54</v>
      </c>
      <c r="K660">
        <v>74</v>
      </c>
    </row>
    <row r="661" spans="1:11" x14ac:dyDescent="0.3">
      <c r="A661" t="s">
        <v>1528</v>
      </c>
      <c r="B661" t="s">
        <v>1529</v>
      </c>
      <c r="C661">
        <v>97</v>
      </c>
      <c r="D661" t="s">
        <v>28</v>
      </c>
      <c r="E661" s="1">
        <v>45709</v>
      </c>
      <c r="J661">
        <v>52</v>
      </c>
      <c r="K661">
        <v>51</v>
      </c>
    </row>
    <row r="662" spans="1:11" x14ac:dyDescent="0.3">
      <c r="A662" t="s">
        <v>260</v>
      </c>
      <c r="B662" t="s">
        <v>261</v>
      </c>
      <c r="C662">
        <v>119</v>
      </c>
      <c r="D662" t="s">
        <v>28</v>
      </c>
      <c r="E662" s="1">
        <v>44883</v>
      </c>
      <c r="J662">
        <v>87</v>
      </c>
      <c r="K662">
        <v>97</v>
      </c>
    </row>
    <row r="663" spans="1:11" x14ac:dyDescent="0.3">
      <c r="A663" t="s">
        <v>1524</v>
      </c>
      <c r="B663" t="s">
        <v>1525</v>
      </c>
      <c r="C663">
        <v>101</v>
      </c>
      <c r="D663" t="s">
        <v>15</v>
      </c>
      <c r="E663" s="1">
        <v>45331</v>
      </c>
      <c r="J663">
        <v>47</v>
      </c>
      <c r="K663">
        <v>52</v>
      </c>
    </row>
    <row r="664" spans="1:11" x14ac:dyDescent="0.3">
      <c r="A664" t="s">
        <v>1948</v>
      </c>
      <c r="B664" t="s">
        <v>1949</v>
      </c>
      <c r="C664">
        <v>112</v>
      </c>
      <c r="D664" t="s">
        <v>15</v>
      </c>
      <c r="E664" s="1">
        <v>45058</v>
      </c>
      <c r="J664">
        <v>35</v>
      </c>
      <c r="K664">
        <v>21</v>
      </c>
    </row>
    <row r="665" spans="1:11" x14ac:dyDescent="0.3">
      <c r="A665" t="s">
        <v>1436</v>
      </c>
      <c r="B665" t="s">
        <v>1437</v>
      </c>
      <c r="C665">
        <v>158</v>
      </c>
      <c r="D665" t="s">
        <v>28</v>
      </c>
      <c r="E665" s="1">
        <v>45252</v>
      </c>
      <c r="J665">
        <v>64</v>
      </c>
      <c r="K665">
        <v>58</v>
      </c>
    </row>
    <row r="666" spans="1:11" x14ac:dyDescent="0.3">
      <c r="A666" t="s">
        <v>1294</v>
      </c>
      <c r="B666" t="s">
        <v>1295</v>
      </c>
      <c r="C666">
        <v>135</v>
      </c>
      <c r="D666" t="s">
        <v>12</v>
      </c>
      <c r="E666" s="1">
        <v>45072</v>
      </c>
      <c r="J666">
        <v>59</v>
      </c>
      <c r="K666">
        <v>67</v>
      </c>
    </row>
    <row r="667" spans="1:11" x14ac:dyDescent="0.3">
      <c r="A667" t="s">
        <v>1080</v>
      </c>
      <c r="B667" t="s">
        <v>1081</v>
      </c>
      <c r="C667">
        <v>102</v>
      </c>
      <c r="D667" t="s">
        <v>90</v>
      </c>
      <c r="E667" s="1">
        <v>45387</v>
      </c>
      <c r="J667">
        <v>63</v>
      </c>
      <c r="K667">
        <v>76</v>
      </c>
    </row>
    <row r="668" spans="1:11" x14ac:dyDescent="0.3">
      <c r="A668" t="s">
        <v>1318</v>
      </c>
      <c r="B668" t="s">
        <v>1319</v>
      </c>
      <c r="C668">
        <v>120</v>
      </c>
      <c r="D668" t="s">
        <v>28</v>
      </c>
      <c r="E668" s="1">
        <v>45330</v>
      </c>
      <c r="J668">
        <v>58</v>
      </c>
      <c r="K668">
        <v>66</v>
      </c>
    </row>
    <row r="669" spans="1:11" x14ac:dyDescent="0.3">
      <c r="A669" t="s">
        <v>723</v>
      </c>
      <c r="B669" t="s">
        <v>724</v>
      </c>
      <c r="C669">
        <v>116</v>
      </c>
      <c r="D669" t="s">
        <v>28</v>
      </c>
      <c r="E669" s="1">
        <v>44603</v>
      </c>
      <c r="J669">
        <v>62</v>
      </c>
      <c r="K669">
        <v>87</v>
      </c>
    </row>
    <row r="670" spans="1:11" x14ac:dyDescent="0.3">
      <c r="A670" t="s">
        <v>1886</v>
      </c>
      <c r="B670" t="s">
        <v>1887</v>
      </c>
      <c r="C670">
        <v>105</v>
      </c>
      <c r="D670" t="s">
        <v>12</v>
      </c>
      <c r="E670" s="1">
        <v>44812</v>
      </c>
      <c r="J670">
        <v>38</v>
      </c>
      <c r="K670">
        <v>27</v>
      </c>
    </row>
    <row r="671" spans="1:11" x14ac:dyDescent="0.3">
      <c r="A671" t="s">
        <v>1114</v>
      </c>
      <c r="B671" t="s">
        <v>1115</v>
      </c>
      <c r="C671">
        <v>100</v>
      </c>
      <c r="D671" t="s">
        <v>28</v>
      </c>
      <c r="E671" s="1">
        <v>45470</v>
      </c>
      <c r="J671">
        <v>62</v>
      </c>
      <c r="K671">
        <v>75</v>
      </c>
    </row>
    <row r="672" spans="1:11" x14ac:dyDescent="0.3">
      <c r="A672" t="s">
        <v>1014</v>
      </c>
      <c r="B672" t="s">
        <v>1015</v>
      </c>
      <c r="C672">
        <v>97</v>
      </c>
      <c r="D672" t="s">
        <v>28</v>
      </c>
      <c r="E672" s="1">
        <v>45695</v>
      </c>
      <c r="J672">
        <v>61</v>
      </c>
      <c r="K672">
        <v>78</v>
      </c>
    </row>
    <row r="673" spans="1:11" x14ac:dyDescent="0.3">
      <c r="A673" t="s">
        <v>1250</v>
      </c>
      <c r="B673" t="s">
        <v>1251</v>
      </c>
      <c r="C673">
        <v>110</v>
      </c>
      <c r="D673" t="s">
        <v>63</v>
      </c>
      <c r="E673" s="1">
        <v>44804</v>
      </c>
      <c r="J673">
        <v>57</v>
      </c>
      <c r="K673">
        <v>70</v>
      </c>
    </row>
    <row r="674" spans="1:11" x14ac:dyDescent="0.3">
      <c r="A674" t="s">
        <v>1008</v>
      </c>
      <c r="B674" t="s">
        <v>1009</v>
      </c>
      <c r="C674">
        <v>102</v>
      </c>
      <c r="D674" t="s">
        <v>28</v>
      </c>
      <c r="E674" s="1">
        <v>44826</v>
      </c>
      <c r="J674">
        <v>71</v>
      </c>
      <c r="K674">
        <v>79</v>
      </c>
    </row>
    <row r="675" spans="1:11" x14ac:dyDescent="0.3">
      <c r="A675" t="s">
        <v>1750</v>
      </c>
      <c r="B675" t="s">
        <v>1751</v>
      </c>
      <c r="C675">
        <v>90</v>
      </c>
      <c r="D675" t="s">
        <v>18</v>
      </c>
      <c r="E675" s="1">
        <v>44750</v>
      </c>
      <c r="I675">
        <v>31</v>
      </c>
      <c r="J675">
        <v>40</v>
      </c>
      <c r="K675">
        <v>38</v>
      </c>
    </row>
    <row r="676" spans="1:11" x14ac:dyDescent="0.3">
      <c r="A676" t="s">
        <v>562</v>
      </c>
      <c r="B676" t="s">
        <v>563</v>
      </c>
      <c r="C676">
        <v>104</v>
      </c>
      <c r="D676" t="s">
        <v>15</v>
      </c>
      <c r="E676" s="1">
        <v>45044</v>
      </c>
      <c r="J676">
        <v>75</v>
      </c>
      <c r="K676">
        <v>91</v>
      </c>
    </row>
    <row r="677" spans="1:11" x14ac:dyDescent="0.3">
      <c r="A677" t="s">
        <v>1140</v>
      </c>
      <c r="B677" t="s">
        <v>1141</v>
      </c>
      <c r="C677">
        <v>106</v>
      </c>
      <c r="D677" t="s">
        <v>28</v>
      </c>
      <c r="E677" s="1">
        <v>44834</v>
      </c>
      <c r="J677">
        <v>69</v>
      </c>
      <c r="K677">
        <v>74</v>
      </c>
    </row>
    <row r="678" spans="1:11" x14ac:dyDescent="0.3">
      <c r="A678" t="s">
        <v>78</v>
      </c>
      <c r="B678" t="s">
        <v>79</v>
      </c>
      <c r="C678">
        <v>129</v>
      </c>
      <c r="D678" t="s">
        <v>28</v>
      </c>
      <c r="E678" s="1">
        <v>45280</v>
      </c>
      <c r="J678">
        <v>77</v>
      </c>
      <c r="K678">
        <v>78</v>
      </c>
    </row>
    <row r="679" spans="1:11" x14ac:dyDescent="0.3">
      <c r="A679" t="s">
        <v>1831</v>
      </c>
      <c r="B679" t="s">
        <v>1832</v>
      </c>
      <c r="C679">
        <v>109</v>
      </c>
      <c r="D679" t="s">
        <v>15</v>
      </c>
      <c r="E679" s="1">
        <v>44967</v>
      </c>
      <c r="J679">
        <v>49</v>
      </c>
      <c r="K679">
        <v>31</v>
      </c>
    </row>
    <row r="680" spans="1:11" x14ac:dyDescent="0.3">
      <c r="A680" t="s">
        <v>1758</v>
      </c>
      <c r="B680" t="s">
        <v>1759</v>
      </c>
      <c r="C680">
        <v>92</v>
      </c>
      <c r="D680" t="s">
        <v>28</v>
      </c>
      <c r="E680" s="1">
        <v>44820</v>
      </c>
      <c r="J680">
        <v>45</v>
      </c>
      <c r="K680">
        <v>37</v>
      </c>
    </row>
    <row r="681" spans="1:11" x14ac:dyDescent="0.3">
      <c r="A681" t="s">
        <v>1074</v>
      </c>
      <c r="B681" t="s">
        <v>1075</v>
      </c>
      <c r="C681">
        <v>96</v>
      </c>
      <c r="D681" t="s">
        <v>28</v>
      </c>
      <c r="E681" s="1">
        <v>45565</v>
      </c>
      <c r="J681">
        <v>69</v>
      </c>
      <c r="K681">
        <v>76</v>
      </c>
    </row>
    <row r="682" spans="1:11" x14ac:dyDescent="0.3">
      <c r="A682" t="s">
        <v>1304</v>
      </c>
      <c r="B682" t="s">
        <v>1305</v>
      </c>
      <c r="C682">
        <v>100</v>
      </c>
      <c r="D682" t="s">
        <v>28</v>
      </c>
      <c r="E682" s="1">
        <v>44960</v>
      </c>
      <c r="J682">
        <v>63</v>
      </c>
      <c r="K682">
        <v>67</v>
      </c>
    </row>
    <row r="683" spans="1:11" x14ac:dyDescent="0.3">
      <c r="A683" t="s">
        <v>777</v>
      </c>
      <c r="B683" t="s">
        <v>778</v>
      </c>
      <c r="C683">
        <v>126</v>
      </c>
      <c r="D683" t="s">
        <v>28</v>
      </c>
      <c r="E683" s="1">
        <v>45527</v>
      </c>
      <c r="J683">
        <v>60</v>
      </c>
      <c r="K683">
        <v>85</v>
      </c>
    </row>
    <row r="684" spans="1:11" x14ac:dyDescent="0.3">
      <c r="A684" t="s">
        <v>1629</v>
      </c>
      <c r="B684" t="s">
        <v>1630</v>
      </c>
      <c r="C684">
        <v>101</v>
      </c>
      <c r="D684" t="s">
        <v>28</v>
      </c>
      <c r="E684" s="1">
        <v>44953</v>
      </c>
      <c r="J684">
        <v>46</v>
      </c>
      <c r="K684">
        <v>45</v>
      </c>
    </row>
    <row r="685" spans="1:11" x14ac:dyDescent="0.3">
      <c r="A685" t="s">
        <v>236</v>
      </c>
      <c r="B685" t="s">
        <v>237</v>
      </c>
      <c r="C685">
        <v>91</v>
      </c>
      <c r="D685" t="s">
        <v>18</v>
      </c>
      <c r="E685" s="1">
        <v>45387</v>
      </c>
      <c r="J685">
        <v>79</v>
      </c>
      <c r="K685">
        <v>97</v>
      </c>
    </row>
    <row r="686" spans="1:11" x14ac:dyDescent="0.3">
      <c r="A686" t="s">
        <v>1752</v>
      </c>
      <c r="B686" t="s">
        <v>1753</v>
      </c>
      <c r="C686">
        <v>101</v>
      </c>
      <c r="D686" t="s">
        <v>90</v>
      </c>
      <c r="E686" s="1">
        <v>45623</v>
      </c>
      <c r="J686">
        <v>41</v>
      </c>
      <c r="K686">
        <v>37</v>
      </c>
    </row>
    <row r="687" spans="1:11" x14ac:dyDescent="0.3">
      <c r="A687" t="s">
        <v>759</v>
      </c>
      <c r="B687" t="s">
        <v>760</v>
      </c>
      <c r="C687">
        <v>98</v>
      </c>
      <c r="D687" t="s">
        <v>28</v>
      </c>
      <c r="E687" s="1">
        <v>44820</v>
      </c>
      <c r="J687">
        <v>64</v>
      </c>
      <c r="K687">
        <v>86</v>
      </c>
    </row>
    <row r="688" spans="1:11" x14ac:dyDescent="0.3">
      <c r="A688" t="s">
        <v>1468</v>
      </c>
      <c r="B688" t="s">
        <v>1469</v>
      </c>
      <c r="C688">
        <v>105</v>
      </c>
      <c r="D688" t="s">
        <v>15</v>
      </c>
      <c r="E688" s="1">
        <v>45506</v>
      </c>
      <c r="J688">
        <v>52</v>
      </c>
      <c r="K688">
        <v>56</v>
      </c>
    </row>
    <row r="689" spans="1:11" x14ac:dyDescent="0.3">
      <c r="A689" t="s">
        <v>671</v>
      </c>
      <c r="B689" t="s">
        <v>672</v>
      </c>
      <c r="C689">
        <v>94</v>
      </c>
      <c r="D689" t="s">
        <v>25</v>
      </c>
      <c r="E689" s="1">
        <v>45142</v>
      </c>
      <c r="J689">
        <v>62</v>
      </c>
      <c r="K689">
        <v>88</v>
      </c>
    </row>
    <row r="690" spans="1:11" x14ac:dyDescent="0.3">
      <c r="A690" t="s">
        <v>1188</v>
      </c>
      <c r="B690" t="s">
        <v>1189</v>
      </c>
      <c r="C690">
        <v>102</v>
      </c>
      <c r="D690" t="s">
        <v>12</v>
      </c>
      <c r="E690" s="1">
        <v>44888</v>
      </c>
      <c r="J690">
        <v>65</v>
      </c>
      <c r="K690">
        <v>72</v>
      </c>
    </row>
    <row r="691" spans="1:11" x14ac:dyDescent="0.3">
      <c r="A691" t="s">
        <v>88</v>
      </c>
      <c r="B691" t="s">
        <v>89</v>
      </c>
      <c r="C691">
        <v>88</v>
      </c>
      <c r="D691" t="s">
        <v>90</v>
      </c>
      <c r="E691" s="1">
        <v>45658</v>
      </c>
      <c r="J691">
        <v>56</v>
      </c>
      <c r="K691">
        <v>75</v>
      </c>
    </row>
    <row r="692" spans="1:11" x14ac:dyDescent="0.3">
      <c r="A692" t="s">
        <v>1914</v>
      </c>
      <c r="B692" t="s">
        <v>1915</v>
      </c>
      <c r="C692">
        <v>107</v>
      </c>
      <c r="D692" t="s">
        <v>15</v>
      </c>
      <c r="E692" s="1">
        <v>45621</v>
      </c>
      <c r="J692">
        <v>34</v>
      </c>
      <c r="K692">
        <v>24</v>
      </c>
    </row>
    <row r="693" spans="1:11" x14ac:dyDescent="0.3">
      <c r="A693" t="s">
        <v>1615</v>
      </c>
      <c r="B693" t="s">
        <v>1616</v>
      </c>
      <c r="C693">
        <v>124</v>
      </c>
      <c r="D693" t="s">
        <v>15</v>
      </c>
      <c r="E693" s="1">
        <v>44974</v>
      </c>
      <c r="J693">
        <v>48</v>
      </c>
      <c r="K693">
        <v>46</v>
      </c>
    </row>
    <row r="694" spans="1:11" x14ac:dyDescent="0.3">
      <c r="A694" t="s">
        <v>1649</v>
      </c>
      <c r="B694" t="s">
        <v>1650</v>
      </c>
      <c r="C694">
        <v>98</v>
      </c>
      <c r="D694" t="s">
        <v>63</v>
      </c>
      <c r="E694" s="1">
        <v>45667</v>
      </c>
      <c r="J694">
        <v>40</v>
      </c>
      <c r="K694">
        <v>43</v>
      </c>
    </row>
    <row r="695" spans="1:11" x14ac:dyDescent="0.3">
      <c r="A695" t="s">
        <v>1866</v>
      </c>
      <c r="B695" t="s">
        <v>1867</v>
      </c>
      <c r="C695">
        <v>112</v>
      </c>
      <c r="D695" t="s">
        <v>90</v>
      </c>
      <c r="E695" s="1">
        <v>45632</v>
      </c>
      <c r="J695">
        <v>27</v>
      </c>
      <c r="K695">
        <v>28</v>
      </c>
    </row>
    <row r="696" spans="1:11" x14ac:dyDescent="0.3">
      <c r="A696" t="s">
        <v>1569</v>
      </c>
      <c r="B696" t="s">
        <v>1570</v>
      </c>
      <c r="C696">
        <v>95</v>
      </c>
      <c r="D696" t="s">
        <v>12</v>
      </c>
      <c r="E696" s="1">
        <v>45252</v>
      </c>
      <c r="J696">
        <v>47</v>
      </c>
      <c r="K696">
        <v>48</v>
      </c>
    </row>
    <row r="697" spans="1:11" x14ac:dyDescent="0.3">
      <c r="A697" t="s">
        <v>1940</v>
      </c>
      <c r="B697" t="s">
        <v>1941</v>
      </c>
      <c r="C697">
        <v>133</v>
      </c>
      <c r="D697" t="s">
        <v>15</v>
      </c>
      <c r="E697" s="1">
        <v>45281</v>
      </c>
      <c r="J697">
        <v>31</v>
      </c>
      <c r="K697">
        <v>22</v>
      </c>
    </row>
    <row r="698" spans="1:11" x14ac:dyDescent="0.3">
      <c r="A698" t="s">
        <v>1696</v>
      </c>
      <c r="B698" t="s">
        <v>1697</v>
      </c>
      <c r="C698">
        <v>123</v>
      </c>
      <c r="D698" t="s">
        <v>28</v>
      </c>
      <c r="E698" s="1">
        <v>45737</v>
      </c>
      <c r="J698">
        <v>46</v>
      </c>
      <c r="K698">
        <v>40</v>
      </c>
    </row>
    <row r="699" spans="1:11" x14ac:dyDescent="0.3">
      <c r="A699" t="s">
        <v>1876</v>
      </c>
      <c r="B699" t="s">
        <v>1877</v>
      </c>
      <c r="C699">
        <v>104</v>
      </c>
      <c r="D699" t="s">
        <v>28</v>
      </c>
      <c r="E699" s="1">
        <v>45219</v>
      </c>
      <c r="J699">
        <v>42</v>
      </c>
      <c r="K699">
        <v>27</v>
      </c>
    </row>
    <row r="700" spans="1:11" x14ac:dyDescent="0.3">
      <c r="A700" s="16" t="s">
        <v>320</v>
      </c>
      <c r="B700" s="16" t="s">
        <v>321</v>
      </c>
      <c r="C700" s="16">
        <v>95</v>
      </c>
      <c r="D700" s="16" t="s">
        <v>15</v>
      </c>
      <c r="E700" s="17">
        <v>44711</v>
      </c>
      <c r="F700" s="16">
        <v>7.6</v>
      </c>
      <c r="G700" s="16">
        <v>1300</v>
      </c>
      <c r="I700">
        <v>13</v>
      </c>
      <c r="J700">
        <v>69</v>
      </c>
      <c r="K700">
        <v>96</v>
      </c>
    </row>
    <row r="701" spans="1:11" x14ac:dyDescent="0.3">
      <c r="A701" t="s">
        <v>1546</v>
      </c>
      <c r="B701" t="s">
        <v>1547</v>
      </c>
      <c r="C701">
        <v>104</v>
      </c>
      <c r="D701" t="s">
        <v>15</v>
      </c>
      <c r="E701" s="1">
        <v>45359</v>
      </c>
      <c r="G701">
        <v>766</v>
      </c>
      <c r="I701">
        <v>16</v>
      </c>
      <c r="J701">
        <v>51</v>
      </c>
      <c r="K701">
        <v>50</v>
      </c>
    </row>
    <row r="702" spans="1:11" x14ac:dyDescent="0.3">
      <c r="A702" t="s">
        <v>334</v>
      </c>
      <c r="B702" t="s">
        <v>335</v>
      </c>
      <c r="C702">
        <v>117</v>
      </c>
      <c r="D702" t="s">
        <v>28</v>
      </c>
      <c r="E702" s="1">
        <v>45629</v>
      </c>
      <c r="G702">
        <v>1100</v>
      </c>
      <c r="I702">
        <v>27</v>
      </c>
      <c r="J702">
        <v>82</v>
      </c>
      <c r="K702">
        <v>95</v>
      </c>
    </row>
    <row r="703" spans="1:11" x14ac:dyDescent="0.3">
      <c r="A703" t="s">
        <v>890</v>
      </c>
      <c r="B703" t="s">
        <v>891</v>
      </c>
      <c r="C703">
        <v>89</v>
      </c>
      <c r="D703" t="s">
        <v>28</v>
      </c>
      <c r="E703" s="1">
        <v>45604</v>
      </c>
      <c r="G703">
        <v>883</v>
      </c>
      <c r="J703">
        <v>66</v>
      </c>
      <c r="K703">
        <v>82</v>
      </c>
    </row>
    <row r="704" spans="1:11" x14ac:dyDescent="0.3">
      <c r="A704" t="s">
        <v>679</v>
      </c>
      <c r="B704" t="s">
        <v>680</v>
      </c>
      <c r="C704">
        <v>95</v>
      </c>
      <c r="D704" t="s">
        <v>28</v>
      </c>
      <c r="E704" s="1">
        <v>44897</v>
      </c>
      <c r="J704">
        <v>73</v>
      </c>
      <c r="K704">
        <v>88</v>
      </c>
    </row>
    <row r="705" spans="1:11" x14ac:dyDescent="0.3">
      <c r="A705" t="s">
        <v>525</v>
      </c>
      <c r="B705" t="s">
        <v>526</v>
      </c>
      <c r="C705">
        <v>106</v>
      </c>
      <c r="D705" t="s">
        <v>28</v>
      </c>
      <c r="E705" s="1">
        <v>45037</v>
      </c>
      <c r="J705">
        <v>61</v>
      </c>
      <c r="K705">
        <v>92</v>
      </c>
    </row>
    <row r="706" spans="1:11" x14ac:dyDescent="0.3">
      <c r="A706" t="s">
        <v>1230</v>
      </c>
      <c r="B706" t="s">
        <v>1231</v>
      </c>
      <c r="C706">
        <v>104</v>
      </c>
      <c r="D706" t="s">
        <v>28</v>
      </c>
      <c r="E706" s="1">
        <v>44834</v>
      </c>
      <c r="J706">
        <v>62</v>
      </c>
      <c r="K706">
        <v>71</v>
      </c>
    </row>
    <row r="707" spans="1:11" x14ac:dyDescent="0.3">
      <c r="A707" t="s">
        <v>556</v>
      </c>
      <c r="B707" t="s">
        <v>557</v>
      </c>
      <c r="C707">
        <v>104</v>
      </c>
      <c r="D707" t="s">
        <v>28</v>
      </c>
      <c r="E707" s="1">
        <v>45181</v>
      </c>
      <c r="J707">
        <v>60</v>
      </c>
      <c r="K707">
        <v>91</v>
      </c>
    </row>
    <row r="708" spans="1:11" x14ac:dyDescent="0.3">
      <c r="A708" t="s">
        <v>1170</v>
      </c>
      <c r="B708" t="s">
        <v>1171</v>
      </c>
      <c r="C708">
        <v>104</v>
      </c>
      <c r="D708" t="s">
        <v>28</v>
      </c>
      <c r="E708" s="1">
        <v>45723</v>
      </c>
      <c r="G708">
        <v>704</v>
      </c>
      <c r="J708">
        <v>66</v>
      </c>
      <c r="K708">
        <v>72</v>
      </c>
    </row>
    <row r="709" spans="1:11" x14ac:dyDescent="0.3">
      <c r="A709" t="s">
        <v>1645</v>
      </c>
      <c r="B709" t="s">
        <v>1646</v>
      </c>
      <c r="C709">
        <v>100</v>
      </c>
      <c r="D709" t="s">
        <v>18</v>
      </c>
      <c r="E709" s="1">
        <v>45797</v>
      </c>
      <c r="J709">
        <v>53</v>
      </c>
      <c r="K709">
        <v>43</v>
      </c>
    </row>
    <row r="710" spans="1:11" x14ac:dyDescent="0.3">
      <c r="A710" t="s">
        <v>1502</v>
      </c>
      <c r="B710" t="s">
        <v>1503</v>
      </c>
      <c r="C710">
        <v>133</v>
      </c>
      <c r="D710" t="s">
        <v>28</v>
      </c>
      <c r="E710" s="1">
        <v>45674</v>
      </c>
      <c r="J710">
        <v>53</v>
      </c>
      <c r="K710">
        <v>54</v>
      </c>
    </row>
    <row r="711" spans="1:11" x14ac:dyDescent="0.3">
      <c r="A711" t="s">
        <v>1954</v>
      </c>
      <c r="B711" t="s">
        <v>1955</v>
      </c>
      <c r="C711">
        <v>92</v>
      </c>
      <c r="D711" t="s">
        <v>28</v>
      </c>
      <c r="E711" s="1">
        <v>45409</v>
      </c>
      <c r="J711">
        <v>46</v>
      </c>
      <c r="K711">
        <v>20</v>
      </c>
    </row>
    <row r="712" spans="1:11" x14ac:dyDescent="0.3">
      <c r="A712" t="s">
        <v>1916</v>
      </c>
      <c r="B712" t="s">
        <v>1917</v>
      </c>
      <c r="C712">
        <v>91</v>
      </c>
      <c r="D712" t="s">
        <v>28</v>
      </c>
      <c r="E712" s="1">
        <v>45527</v>
      </c>
      <c r="J712">
        <v>38</v>
      </c>
      <c r="K712">
        <v>24</v>
      </c>
    </row>
    <row r="713" spans="1:11" x14ac:dyDescent="0.3">
      <c r="A713" t="s">
        <v>763</v>
      </c>
      <c r="B713" t="s">
        <v>764</v>
      </c>
      <c r="C713">
        <v>94</v>
      </c>
      <c r="D713" t="s">
        <v>28</v>
      </c>
      <c r="E713" s="1">
        <v>44785</v>
      </c>
      <c r="J713">
        <v>69</v>
      </c>
      <c r="K713">
        <v>86</v>
      </c>
    </row>
    <row r="714" spans="1:11" x14ac:dyDescent="0.3">
      <c r="A714" t="s">
        <v>1805</v>
      </c>
      <c r="B714" t="s">
        <v>1806</v>
      </c>
      <c r="C714">
        <v>93</v>
      </c>
      <c r="D714" t="s">
        <v>28</v>
      </c>
      <c r="E714" s="1">
        <v>45058</v>
      </c>
      <c r="J714">
        <v>53</v>
      </c>
      <c r="K714">
        <v>32</v>
      </c>
    </row>
    <row r="715" spans="1:11" x14ac:dyDescent="0.3">
      <c r="A715" t="s">
        <v>1176</v>
      </c>
      <c r="B715" t="s">
        <v>1177</v>
      </c>
      <c r="C715">
        <v>89</v>
      </c>
      <c r="D715" t="s">
        <v>28</v>
      </c>
      <c r="E715" s="1">
        <v>45373</v>
      </c>
      <c r="J715">
        <v>57</v>
      </c>
      <c r="K715">
        <v>72</v>
      </c>
    </row>
    <row r="716" spans="1:11" x14ac:dyDescent="0.3">
      <c r="A716" t="s">
        <v>1242</v>
      </c>
      <c r="B716" t="s">
        <v>1243</v>
      </c>
      <c r="C716">
        <v>91</v>
      </c>
      <c r="D716" t="s">
        <v>28</v>
      </c>
      <c r="E716" s="1">
        <v>45394</v>
      </c>
      <c r="J716">
        <v>57</v>
      </c>
      <c r="K716">
        <v>70</v>
      </c>
    </row>
    <row r="717" spans="1:11" x14ac:dyDescent="0.3">
      <c r="A717" t="s">
        <v>1565</v>
      </c>
      <c r="B717" t="s">
        <v>1566</v>
      </c>
      <c r="C717">
        <v>103</v>
      </c>
      <c r="D717" t="s">
        <v>28</v>
      </c>
      <c r="E717" s="1">
        <v>45674</v>
      </c>
      <c r="J717">
        <v>50</v>
      </c>
      <c r="K717">
        <v>48</v>
      </c>
    </row>
    <row r="718" spans="1:11" x14ac:dyDescent="0.3">
      <c r="A718" t="s">
        <v>529</v>
      </c>
      <c r="B718" t="s">
        <v>530</v>
      </c>
      <c r="C718">
        <v>117</v>
      </c>
      <c r="D718" t="s">
        <v>63</v>
      </c>
      <c r="E718" s="1">
        <v>44853</v>
      </c>
      <c r="J718">
        <v>74</v>
      </c>
      <c r="K718">
        <v>92</v>
      </c>
    </row>
    <row r="719" spans="1:11" x14ac:dyDescent="0.3">
      <c r="A719" t="s">
        <v>1426</v>
      </c>
      <c r="B719" t="s">
        <v>1427</v>
      </c>
      <c r="C719">
        <v>98</v>
      </c>
      <c r="D719" t="s">
        <v>15</v>
      </c>
      <c r="E719" s="1">
        <v>44960</v>
      </c>
      <c r="J719">
        <v>52</v>
      </c>
      <c r="K719">
        <v>59</v>
      </c>
    </row>
    <row r="720" spans="1:11" x14ac:dyDescent="0.3">
      <c r="A720" t="s">
        <v>1352</v>
      </c>
      <c r="B720" t="s">
        <v>1353</v>
      </c>
      <c r="C720">
        <v>95</v>
      </c>
      <c r="D720" t="s">
        <v>28</v>
      </c>
      <c r="E720" s="1">
        <v>45737</v>
      </c>
      <c r="G720">
        <v>772</v>
      </c>
      <c r="J720">
        <v>45</v>
      </c>
      <c r="K720">
        <v>63</v>
      </c>
    </row>
    <row r="721" spans="1:11" x14ac:dyDescent="0.3">
      <c r="A721" t="s">
        <v>1334</v>
      </c>
      <c r="B721" t="s">
        <v>1335</v>
      </c>
      <c r="C721">
        <v>97</v>
      </c>
      <c r="D721" t="s">
        <v>28</v>
      </c>
      <c r="E721" s="1">
        <v>44638</v>
      </c>
      <c r="J721">
        <v>48</v>
      </c>
      <c r="K721">
        <v>65</v>
      </c>
    </row>
    <row r="722" spans="1:11" x14ac:dyDescent="0.3">
      <c r="A722" t="s">
        <v>545</v>
      </c>
      <c r="B722" t="s">
        <v>546</v>
      </c>
      <c r="C722">
        <v>93</v>
      </c>
      <c r="D722" t="s">
        <v>28</v>
      </c>
      <c r="E722" s="1">
        <v>45366</v>
      </c>
      <c r="J722">
        <v>65</v>
      </c>
      <c r="K722">
        <v>91</v>
      </c>
    </row>
    <row r="723" spans="1:11" x14ac:dyDescent="0.3">
      <c r="A723" t="s">
        <v>1378</v>
      </c>
      <c r="B723" t="s">
        <v>1379</v>
      </c>
      <c r="C723">
        <v>116</v>
      </c>
      <c r="D723" t="s">
        <v>28</v>
      </c>
      <c r="E723" s="1">
        <v>45091</v>
      </c>
      <c r="G723">
        <v>1400</v>
      </c>
      <c r="J723">
        <v>59</v>
      </c>
      <c r="K723">
        <v>62</v>
      </c>
    </row>
    <row r="724" spans="1:11" x14ac:dyDescent="0.3">
      <c r="A724" t="s">
        <v>93</v>
      </c>
      <c r="B724" t="s">
        <v>94</v>
      </c>
      <c r="C724">
        <v>121</v>
      </c>
      <c r="D724" t="s">
        <v>28</v>
      </c>
      <c r="E724" s="1">
        <v>44841</v>
      </c>
      <c r="J724">
        <v>55</v>
      </c>
      <c r="K724">
        <v>71</v>
      </c>
    </row>
    <row r="725" spans="1:11" x14ac:dyDescent="0.3">
      <c r="A725" t="s">
        <v>830</v>
      </c>
      <c r="B725" t="s">
        <v>831</v>
      </c>
      <c r="C725">
        <v>93</v>
      </c>
      <c r="D725" t="s">
        <v>15</v>
      </c>
      <c r="E725" s="1">
        <v>45387</v>
      </c>
      <c r="J725">
        <v>64</v>
      </c>
      <c r="K725">
        <v>84</v>
      </c>
    </row>
    <row r="726" spans="1:11" x14ac:dyDescent="0.3">
      <c r="A726" t="s">
        <v>366</v>
      </c>
      <c r="B726" t="s">
        <v>367</v>
      </c>
      <c r="C726">
        <v>122</v>
      </c>
      <c r="D726" t="s">
        <v>15</v>
      </c>
      <c r="E726" s="1">
        <v>44888</v>
      </c>
      <c r="J726">
        <v>91</v>
      </c>
      <c r="K726">
        <v>95</v>
      </c>
    </row>
    <row r="727" spans="1:11" x14ac:dyDescent="0.3">
      <c r="A727" t="s">
        <v>1607</v>
      </c>
      <c r="B727" t="s">
        <v>1608</v>
      </c>
      <c r="C727">
        <v>125</v>
      </c>
      <c r="D727" t="s">
        <v>28</v>
      </c>
      <c r="E727" s="1">
        <v>45380</v>
      </c>
      <c r="J727">
        <v>47</v>
      </c>
      <c r="K727">
        <v>46</v>
      </c>
    </row>
    <row r="728" spans="1:11" x14ac:dyDescent="0.3">
      <c r="A728" t="s">
        <v>1458</v>
      </c>
      <c r="B728" t="s">
        <v>1459</v>
      </c>
      <c r="C728">
        <v>95</v>
      </c>
      <c r="D728" t="s">
        <v>63</v>
      </c>
      <c r="E728" s="1">
        <v>45723</v>
      </c>
      <c r="J728">
        <v>62</v>
      </c>
      <c r="K728">
        <v>56</v>
      </c>
    </row>
    <row r="729" spans="1:11" x14ac:dyDescent="0.3">
      <c r="A729" t="s">
        <v>1412</v>
      </c>
      <c r="B729" t="s">
        <v>1413</v>
      </c>
      <c r="C729">
        <v>97</v>
      </c>
      <c r="D729" t="s">
        <v>15</v>
      </c>
      <c r="E729" s="1">
        <v>45569</v>
      </c>
      <c r="J729">
        <v>54</v>
      </c>
      <c r="K729">
        <v>59</v>
      </c>
    </row>
    <row r="730" spans="1:11" x14ac:dyDescent="0.3">
      <c r="A730" t="s">
        <v>781</v>
      </c>
      <c r="B730" t="s">
        <v>782</v>
      </c>
      <c r="C730">
        <v>113</v>
      </c>
      <c r="D730" t="s">
        <v>15</v>
      </c>
      <c r="E730" s="1">
        <v>45471</v>
      </c>
      <c r="I730">
        <v>55</v>
      </c>
      <c r="J730">
        <v>83</v>
      </c>
      <c r="K730">
        <v>85</v>
      </c>
    </row>
    <row r="731" spans="1:11" x14ac:dyDescent="0.3">
      <c r="A731" t="s">
        <v>1402</v>
      </c>
      <c r="B731" t="s">
        <v>1403</v>
      </c>
      <c r="C731">
        <v>104</v>
      </c>
      <c r="D731" t="s">
        <v>28</v>
      </c>
      <c r="E731" s="1">
        <v>45261</v>
      </c>
      <c r="J731">
        <v>53</v>
      </c>
      <c r="K731">
        <v>60</v>
      </c>
    </row>
    <row r="732" spans="1:11" x14ac:dyDescent="0.3">
      <c r="A732" t="s">
        <v>1994</v>
      </c>
      <c r="B732" t="s">
        <v>1995</v>
      </c>
      <c r="C732">
        <v>104</v>
      </c>
      <c r="D732" t="s">
        <v>15</v>
      </c>
      <c r="E732" s="1">
        <v>44603</v>
      </c>
      <c r="J732">
        <v>27</v>
      </c>
      <c r="K732">
        <v>12</v>
      </c>
    </row>
    <row r="733" spans="1:11" x14ac:dyDescent="0.3">
      <c r="A733" t="s">
        <v>1774</v>
      </c>
      <c r="B733" t="s">
        <v>1775</v>
      </c>
      <c r="C733">
        <v>103</v>
      </c>
      <c r="D733" t="s">
        <v>90</v>
      </c>
      <c r="E733" s="1">
        <v>45134</v>
      </c>
      <c r="J733">
        <v>48</v>
      </c>
      <c r="K733">
        <v>35</v>
      </c>
    </row>
    <row r="734" spans="1:11" x14ac:dyDescent="0.3">
      <c r="A734" t="s">
        <v>1690</v>
      </c>
      <c r="B734" t="s">
        <v>1691</v>
      </c>
      <c r="C734">
        <v>101</v>
      </c>
      <c r="D734" t="s">
        <v>28</v>
      </c>
      <c r="E734" s="1">
        <v>45513</v>
      </c>
      <c r="J734">
        <v>48</v>
      </c>
      <c r="K734">
        <v>41</v>
      </c>
    </row>
    <row r="735" spans="1:11" x14ac:dyDescent="0.3">
      <c r="A735" t="s">
        <v>1900</v>
      </c>
      <c r="B735" t="s">
        <v>1901</v>
      </c>
      <c r="C735">
        <v>93</v>
      </c>
      <c r="D735" t="s">
        <v>18</v>
      </c>
      <c r="E735" s="1">
        <v>44904</v>
      </c>
      <c r="J735">
        <v>29</v>
      </c>
      <c r="K735">
        <v>26</v>
      </c>
    </row>
    <row r="736" spans="1:11" x14ac:dyDescent="0.3">
      <c r="A736" t="s">
        <v>1789</v>
      </c>
      <c r="B736" t="s">
        <v>1790</v>
      </c>
      <c r="C736">
        <v>99</v>
      </c>
      <c r="D736" t="s">
        <v>15</v>
      </c>
      <c r="E736" s="1">
        <v>45674</v>
      </c>
      <c r="G736">
        <v>428</v>
      </c>
      <c r="I736">
        <v>28</v>
      </c>
      <c r="J736">
        <v>50</v>
      </c>
      <c r="K736">
        <v>33</v>
      </c>
    </row>
    <row r="737" spans="1:11" x14ac:dyDescent="0.3">
      <c r="A737" t="s">
        <v>1738</v>
      </c>
      <c r="B737" t="s">
        <v>1739</v>
      </c>
      <c r="C737">
        <v>108</v>
      </c>
      <c r="D737" t="s">
        <v>28</v>
      </c>
      <c r="E737" s="1">
        <v>45534</v>
      </c>
      <c r="J737">
        <v>52</v>
      </c>
      <c r="K737">
        <v>38</v>
      </c>
    </row>
    <row r="738" spans="1:11" x14ac:dyDescent="0.3">
      <c r="A738" t="s">
        <v>1740</v>
      </c>
      <c r="B738" t="s">
        <v>1741</v>
      </c>
      <c r="C738">
        <v>166</v>
      </c>
      <c r="D738" t="s">
        <v>18</v>
      </c>
      <c r="E738" s="1">
        <v>45316</v>
      </c>
      <c r="J738">
        <v>63</v>
      </c>
      <c r="K738">
        <v>38</v>
      </c>
    </row>
    <row r="739" spans="1:11" x14ac:dyDescent="0.3">
      <c r="A739" t="s">
        <v>755</v>
      </c>
      <c r="B739" t="s">
        <v>756</v>
      </c>
      <c r="C739">
        <v>83</v>
      </c>
      <c r="D739" t="s">
        <v>28</v>
      </c>
      <c r="E739" s="1">
        <v>44939</v>
      </c>
      <c r="J739">
        <v>62</v>
      </c>
      <c r="K739">
        <v>86</v>
      </c>
    </row>
    <row r="740" spans="1:11" x14ac:dyDescent="0.3">
      <c r="A740" t="s">
        <v>1623</v>
      </c>
      <c r="B740" t="s">
        <v>1624</v>
      </c>
      <c r="C740">
        <v>107</v>
      </c>
      <c r="D740" t="s">
        <v>28</v>
      </c>
      <c r="E740" s="1">
        <v>45562</v>
      </c>
      <c r="J740">
        <v>49</v>
      </c>
      <c r="K740">
        <v>45</v>
      </c>
    </row>
    <row r="741" spans="1:11" x14ac:dyDescent="0.3">
      <c r="A741" t="s">
        <v>1694</v>
      </c>
      <c r="B741" t="s">
        <v>1695</v>
      </c>
      <c r="C741">
        <v>93</v>
      </c>
      <c r="D741" t="s">
        <v>160</v>
      </c>
      <c r="E741" s="1">
        <v>45366</v>
      </c>
      <c r="J741">
        <v>46</v>
      </c>
      <c r="K741">
        <v>41</v>
      </c>
    </row>
    <row r="742" spans="1:11" x14ac:dyDescent="0.3">
      <c r="A742" t="s">
        <v>1678</v>
      </c>
      <c r="B742" t="s">
        <v>1679</v>
      </c>
      <c r="C742">
        <v>92</v>
      </c>
      <c r="D742" t="s">
        <v>28</v>
      </c>
      <c r="E742" s="1">
        <v>45247</v>
      </c>
      <c r="J742">
        <v>49</v>
      </c>
      <c r="K742">
        <v>42</v>
      </c>
    </row>
    <row r="743" spans="1:11" x14ac:dyDescent="0.3">
      <c r="A743" t="s">
        <v>1571</v>
      </c>
      <c r="B743" t="s">
        <v>1572</v>
      </c>
      <c r="C743">
        <v>102</v>
      </c>
      <c r="D743" t="s">
        <v>28</v>
      </c>
      <c r="E743" s="1">
        <v>45211</v>
      </c>
      <c r="J743">
        <v>53</v>
      </c>
      <c r="K743">
        <v>48</v>
      </c>
    </row>
    <row r="744" spans="1:11" x14ac:dyDescent="0.3">
      <c r="A744" t="s">
        <v>655</v>
      </c>
      <c r="B744" t="s">
        <v>656</v>
      </c>
      <c r="C744">
        <v>84</v>
      </c>
      <c r="D744" t="s">
        <v>28</v>
      </c>
      <c r="E744" s="1">
        <v>45681</v>
      </c>
      <c r="J744">
        <v>77</v>
      </c>
      <c r="K744">
        <v>88</v>
      </c>
    </row>
    <row r="745" spans="1:11" x14ac:dyDescent="0.3">
      <c r="A745" t="s">
        <v>1896</v>
      </c>
      <c r="B745" t="s">
        <v>1897</v>
      </c>
      <c r="C745">
        <v>204</v>
      </c>
      <c r="D745" t="s">
        <v>18</v>
      </c>
      <c r="E745" s="1">
        <v>45261</v>
      </c>
      <c r="J745">
        <v>33</v>
      </c>
      <c r="K745">
        <v>26</v>
      </c>
    </row>
    <row r="746" spans="1:11" x14ac:dyDescent="0.3">
      <c r="A746" t="s">
        <v>49</v>
      </c>
      <c r="B746" t="s">
        <v>50</v>
      </c>
      <c r="C746">
        <v>111</v>
      </c>
      <c r="D746" t="s">
        <v>12</v>
      </c>
      <c r="E746" s="1">
        <v>45449</v>
      </c>
      <c r="G746">
        <v>1500</v>
      </c>
      <c r="I746">
        <v>28</v>
      </c>
      <c r="J746">
        <v>66</v>
      </c>
      <c r="K746">
        <v>90</v>
      </c>
    </row>
    <row r="747" spans="1:11" x14ac:dyDescent="0.3">
      <c r="A747" t="s">
        <v>1722</v>
      </c>
      <c r="B747" t="s">
        <v>1723</v>
      </c>
      <c r="C747">
        <v>94</v>
      </c>
      <c r="D747" t="s">
        <v>28</v>
      </c>
      <c r="E747" s="1">
        <v>45576</v>
      </c>
      <c r="J747">
        <v>46</v>
      </c>
      <c r="K747">
        <v>39</v>
      </c>
    </row>
    <row r="748" spans="1:11" x14ac:dyDescent="0.3">
      <c r="A748" t="s">
        <v>576</v>
      </c>
      <c r="B748" t="s">
        <v>577</v>
      </c>
      <c r="C748">
        <v>105</v>
      </c>
      <c r="D748" t="s">
        <v>28</v>
      </c>
      <c r="E748" s="1">
        <v>44708</v>
      </c>
      <c r="J748">
        <v>73</v>
      </c>
      <c r="K748">
        <v>91</v>
      </c>
    </row>
    <row r="749" spans="1:11" x14ac:dyDescent="0.3">
      <c r="A749" t="s">
        <v>1872</v>
      </c>
      <c r="B749" t="s">
        <v>1873</v>
      </c>
      <c r="C749">
        <v>104</v>
      </c>
      <c r="D749" t="s">
        <v>28</v>
      </c>
      <c r="E749" s="1">
        <v>45637</v>
      </c>
      <c r="J749">
        <v>42</v>
      </c>
      <c r="K749">
        <v>27</v>
      </c>
    </row>
    <row r="750" spans="1:11" x14ac:dyDescent="0.3">
      <c r="A750" t="s">
        <v>1442</v>
      </c>
      <c r="B750" t="s">
        <v>1443</v>
      </c>
      <c r="C750">
        <v>101</v>
      </c>
      <c r="D750" t="s">
        <v>28</v>
      </c>
      <c r="E750" s="1">
        <v>45555</v>
      </c>
      <c r="J750">
        <v>55</v>
      </c>
      <c r="K750">
        <v>57</v>
      </c>
    </row>
    <row r="751" spans="1:11" x14ac:dyDescent="0.3">
      <c r="A751" t="s">
        <v>783</v>
      </c>
      <c r="B751" t="s">
        <v>784</v>
      </c>
      <c r="C751">
        <v>100</v>
      </c>
      <c r="D751" t="s">
        <v>15</v>
      </c>
      <c r="E751" s="1">
        <v>45429</v>
      </c>
      <c r="J751">
        <v>86</v>
      </c>
      <c r="K751">
        <v>85</v>
      </c>
    </row>
    <row r="752" spans="1:11" x14ac:dyDescent="0.3">
      <c r="A752" t="s">
        <v>703</v>
      </c>
      <c r="B752" t="s">
        <v>704</v>
      </c>
      <c r="C752">
        <v>117</v>
      </c>
      <c r="D752" t="s">
        <v>28</v>
      </c>
      <c r="E752" s="1">
        <v>44953</v>
      </c>
      <c r="J752">
        <v>72</v>
      </c>
      <c r="K752">
        <v>87</v>
      </c>
    </row>
    <row r="753" spans="1:11" x14ac:dyDescent="0.3">
      <c r="A753" t="s">
        <v>148</v>
      </c>
      <c r="B753" t="s">
        <v>149</v>
      </c>
      <c r="C753">
        <v>122</v>
      </c>
      <c r="D753" t="s">
        <v>15</v>
      </c>
      <c r="E753" s="1">
        <v>45401</v>
      </c>
      <c r="J753">
        <v>35</v>
      </c>
      <c r="K753">
        <v>16</v>
      </c>
    </row>
    <row r="754" spans="1:11" x14ac:dyDescent="0.3">
      <c r="A754" t="s">
        <v>675</v>
      </c>
      <c r="B754" t="s">
        <v>676</v>
      </c>
      <c r="C754">
        <v>96</v>
      </c>
      <c r="D754" t="s">
        <v>28</v>
      </c>
      <c r="E754" s="1">
        <v>45065</v>
      </c>
      <c r="J754">
        <v>67</v>
      </c>
      <c r="K754">
        <v>88</v>
      </c>
    </row>
    <row r="755" spans="1:11" x14ac:dyDescent="0.3">
      <c r="A755" t="s">
        <v>1262</v>
      </c>
      <c r="B755" t="s">
        <v>1263</v>
      </c>
      <c r="C755">
        <v>100</v>
      </c>
      <c r="D755" t="s">
        <v>28</v>
      </c>
      <c r="E755" s="1">
        <v>44701</v>
      </c>
      <c r="J755">
        <v>65</v>
      </c>
      <c r="K755">
        <v>69</v>
      </c>
    </row>
    <row r="756" spans="1:11" x14ac:dyDescent="0.3">
      <c r="A756" t="s">
        <v>1847</v>
      </c>
      <c r="B756" t="s">
        <v>1848</v>
      </c>
      <c r="C756">
        <v>108</v>
      </c>
      <c r="D756" t="s">
        <v>12</v>
      </c>
      <c r="E756" s="1">
        <v>44757</v>
      </c>
      <c r="J756">
        <v>42</v>
      </c>
      <c r="K756">
        <v>30</v>
      </c>
    </row>
    <row r="757" spans="1:11" x14ac:dyDescent="0.3">
      <c r="A757" t="s">
        <v>1770</v>
      </c>
      <c r="B757" t="s">
        <v>1771</v>
      </c>
      <c r="C757">
        <v>107</v>
      </c>
      <c r="D757" t="s">
        <v>15</v>
      </c>
      <c r="E757" s="1">
        <v>45520</v>
      </c>
      <c r="J757">
        <v>44</v>
      </c>
      <c r="K757">
        <v>35</v>
      </c>
    </row>
    <row r="758" spans="1:11" x14ac:dyDescent="0.3">
      <c r="A758" t="s">
        <v>1988</v>
      </c>
      <c r="B758" t="s">
        <v>1989</v>
      </c>
      <c r="C758">
        <v>103</v>
      </c>
      <c r="D758" t="s">
        <v>28</v>
      </c>
      <c r="E758" s="1">
        <v>45191</v>
      </c>
      <c r="J758">
        <v>30</v>
      </c>
      <c r="K758">
        <v>14</v>
      </c>
    </row>
    <row r="759" spans="1:11" x14ac:dyDescent="0.3">
      <c r="A759" t="s">
        <v>842</v>
      </c>
      <c r="B759" t="s">
        <v>843</v>
      </c>
      <c r="C759">
        <v>91</v>
      </c>
      <c r="D759" t="s">
        <v>18</v>
      </c>
      <c r="E759" s="1">
        <v>45100</v>
      </c>
      <c r="J759">
        <v>62</v>
      </c>
      <c r="K759">
        <v>84</v>
      </c>
    </row>
    <row r="760" spans="1:11" x14ac:dyDescent="0.3">
      <c r="A760" t="s">
        <v>1950</v>
      </c>
      <c r="B760" t="s">
        <v>1951</v>
      </c>
      <c r="C760">
        <v>101</v>
      </c>
      <c r="D760" t="s">
        <v>28</v>
      </c>
      <c r="E760" s="1">
        <v>45030</v>
      </c>
      <c r="J760">
        <v>42</v>
      </c>
      <c r="K760">
        <v>21</v>
      </c>
    </row>
    <row r="761" spans="1:11" x14ac:dyDescent="0.3">
      <c r="A761" t="s">
        <v>1835</v>
      </c>
      <c r="B761" t="s">
        <v>1836</v>
      </c>
      <c r="C761">
        <v>134</v>
      </c>
      <c r="D761" t="s">
        <v>28</v>
      </c>
      <c r="E761" s="1">
        <v>44841</v>
      </c>
      <c r="J761">
        <v>49</v>
      </c>
      <c r="K761">
        <v>31</v>
      </c>
    </row>
    <row r="762" spans="1:11" x14ac:dyDescent="0.3">
      <c r="A762" t="s">
        <v>1192</v>
      </c>
      <c r="B762" t="s">
        <v>1193</v>
      </c>
      <c r="C762">
        <v>84</v>
      </c>
      <c r="D762" t="s">
        <v>28</v>
      </c>
      <c r="E762" s="1">
        <v>44841</v>
      </c>
      <c r="J762">
        <v>57</v>
      </c>
      <c r="K762">
        <v>72</v>
      </c>
    </row>
    <row r="763" spans="1:11" x14ac:dyDescent="0.3">
      <c r="A763" t="s">
        <v>1686</v>
      </c>
      <c r="B763" t="s">
        <v>1687</v>
      </c>
      <c r="C763">
        <v>89</v>
      </c>
      <c r="D763" t="s">
        <v>90</v>
      </c>
      <c r="E763" s="1">
        <v>44623</v>
      </c>
      <c r="J763">
        <v>51</v>
      </c>
      <c r="K763">
        <v>42</v>
      </c>
    </row>
    <row r="764" spans="1:11" x14ac:dyDescent="0.3">
      <c r="A764" t="s">
        <v>97</v>
      </c>
      <c r="B764" t="s">
        <v>98</v>
      </c>
      <c r="C764">
        <v>100</v>
      </c>
      <c r="D764" t="s">
        <v>28</v>
      </c>
      <c r="E764" s="1">
        <v>44834</v>
      </c>
      <c r="J764">
        <v>69</v>
      </c>
      <c r="K764">
        <v>68</v>
      </c>
    </row>
    <row r="765" spans="1:11" x14ac:dyDescent="0.3">
      <c r="A765" t="s">
        <v>1224</v>
      </c>
      <c r="B765" t="s">
        <v>1225</v>
      </c>
      <c r="C765">
        <v>108</v>
      </c>
      <c r="D765" t="s">
        <v>15</v>
      </c>
      <c r="E765" s="1">
        <v>45051</v>
      </c>
      <c r="J765">
        <v>59</v>
      </c>
      <c r="K765">
        <v>71</v>
      </c>
    </row>
    <row r="766" spans="1:11" x14ac:dyDescent="0.3">
      <c r="A766" t="s">
        <v>1364</v>
      </c>
      <c r="B766" t="s">
        <v>1365</v>
      </c>
      <c r="C766">
        <v>100</v>
      </c>
      <c r="D766" t="s">
        <v>28</v>
      </c>
      <c r="E766" s="1">
        <v>44817</v>
      </c>
      <c r="J766">
        <v>50</v>
      </c>
      <c r="K766">
        <v>63</v>
      </c>
    </row>
    <row r="767" spans="1:11" x14ac:dyDescent="0.3">
      <c r="A767" t="s">
        <v>76</v>
      </c>
      <c r="B767" t="s">
        <v>77</v>
      </c>
      <c r="C767">
        <v>92</v>
      </c>
      <c r="D767" t="s">
        <v>28</v>
      </c>
      <c r="E767" s="1">
        <v>45394</v>
      </c>
      <c r="J767">
        <v>57</v>
      </c>
      <c r="K767">
        <v>78</v>
      </c>
    </row>
    <row r="768" spans="1:11" x14ac:dyDescent="0.3">
      <c r="A768" t="s">
        <v>1712</v>
      </c>
      <c r="B768" t="s">
        <v>1713</v>
      </c>
      <c r="C768">
        <v>111</v>
      </c>
      <c r="D768" t="s">
        <v>28</v>
      </c>
      <c r="E768" s="1">
        <v>44848</v>
      </c>
      <c r="J768">
        <v>47</v>
      </c>
      <c r="K768">
        <v>40</v>
      </c>
    </row>
    <row r="769" spans="1:11" x14ac:dyDescent="0.3">
      <c r="A769" t="s">
        <v>1597</v>
      </c>
      <c r="B769" t="s">
        <v>1598</v>
      </c>
      <c r="C769">
        <v>99</v>
      </c>
      <c r="D769" t="s">
        <v>63</v>
      </c>
      <c r="E769" s="1">
        <v>44715</v>
      </c>
      <c r="J769">
        <v>51</v>
      </c>
      <c r="K769">
        <v>47</v>
      </c>
    </row>
    <row r="770" spans="1:11" x14ac:dyDescent="0.3">
      <c r="A770" t="s">
        <v>122</v>
      </c>
      <c r="B770" t="s">
        <v>123</v>
      </c>
      <c r="C770">
        <v>114</v>
      </c>
      <c r="D770" t="s">
        <v>28</v>
      </c>
      <c r="E770" s="1">
        <v>45568</v>
      </c>
      <c r="J770">
        <v>47</v>
      </c>
      <c r="K770">
        <v>46</v>
      </c>
    </row>
    <row r="771" spans="1:11" x14ac:dyDescent="0.3">
      <c r="A771" t="s">
        <v>1368</v>
      </c>
      <c r="B771" t="s">
        <v>1369</v>
      </c>
      <c r="C771">
        <v>101</v>
      </c>
      <c r="D771" t="s">
        <v>28</v>
      </c>
      <c r="E771" s="1">
        <v>44659</v>
      </c>
      <c r="J771">
        <v>62</v>
      </c>
      <c r="K771">
        <v>63</v>
      </c>
    </row>
    <row r="772" spans="1:11" x14ac:dyDescent="0.3">
      <c r="A772" t="s">
        <v>1976</v>
      </c>
      <c r="B772" t="s">
        <v>1977</v>
      </c>
      <c r="C772">
        <v>165</v>
      </c>
      <c r="D772" t="s">
        <v>28</v>
      </c>
      <c r="E772" s="1">
        <v>45023</v>
      </c>
      <c r="G772">
        <v>568</v>
      </c>
      <c r="I772">
        <v>12</v>
      </c>
      <c r="J772">
        <v>30</v>
      </c>
      <c r="K772">
        <v>16</v>
      </c>
    </row>
    <row r="773" spans="1:11" x14ac:dyDescent="0.3">
      <c r="A773" t="s">
        <v>208</v>
      </c>
      <c r="B773" t="s">
        <v>209</v>
      </c>
      <c r="C773">
        <v>92</v>
      </c>
      <c r="D773" t="s">
        <v>28</v>
      </c>
      <c r="E773" s="1">
        <v>45156</v>
      </c>
      <c r="G773">
        <v>1000</v>
      </c>
      <c r="I773">
        <v>13</v>
      </c>
      <c r="J773">
        <v>77</v>
      </c>
      <c r="K773">
        <v>98</v>
      </c>
    </row>
    <row r="774" spans="1:11" x14ac:dyDescent="0.3">
      <c r="A774" t="s">
        <v>150</v>
      </c>
      <c r="B774" t="s">
        <v>151</v>
      </c>
      <c r="C774">
        <v>101</v>
      </c>
      <c r="D774" t="s">
        <v>28</v>
      </c>
      <c r="E774" s="1">
        <v>45736</v>
      </c>
      <c r="G774">
        <v>511</v>
      </c>
      <c r="I774">
        <v>18</v>
      </c>
      <c r="J774">
        <v>73</v>
      </c>
      <c r="K774">
        <v>100</v>
      </c>
    </row>
    <row r="775" spans="1:11" x14ac:dyDescent="0.3">
      <c r="A775" t="s">
        <v>84</v>
      </c>
      <c r="B775" t="s">
        <v>85</v>
      </c>
      <c r="C775">
        <v>91</v>
      </c>
      <c r="D775" t="s">
        <v>28</v>
      </c>
      <c r="E775" s="1">
        <v>44624</v>
      </c>
      <c r="G775">
        <v>1300</v>
      </c>
      <c r="I775">
        <v>24</v>
      </c>
      <c r="J775">
        <v>69</v>
      </c>
      <c r="K775">
        <v>77</v>
      </c>
    </row>
    <row r="776" spans="1:11" x14ac:dyDescent="0.3">
      <c r="A776" t="s">
        <v>1601</v>
      </c>
      <c r="B776" t="s">
        <v>1602</v>
      </c>
      <c r="C776">
        <v>91</v>
      </c>
      <c r="D776" t="s">
        <v>28</v>
      </c>
      <c r="E776" s="1">
        <v>45688</v>
      </c>
      <c r="J776">
        <v>52</v>
      </c>
      <c r="K776">
        <v>46</v>
      </c>
    </row>
    <row r="777" spans="1:11" x14ac:dyDescent="0.3">
      <c r="A777" t="s">
        <v>928</v>
      </c>
      <c r="B777" t="s">
        <v>929</v>
      </c>
      <c r="C777">
        <v>100</v>
      </c>
      <c r="D777" t="s">
        <v>28</v>
      </c>
      <c r="E777" s="1">
        <v>44831</v>
      </c>
      <c r="J777">
        <v>79</v>
      </c>
      <c r="K777">
        <v>82</v>
      </c>
    </row>
    <row r="778" spans="1:11" x14ac:dyDescent="0.3">
      <c r="A778" t="s">
        <v>110</v>
      </c>
      <c r="B778" t="s">
        <v>111</v>
      </c>
      <c r="C778">
        <v>101</v>
      </c>
      <c r="D778" t="s">
        <v>28</v>
      </c>
      <c r="E778" s="1">
        <v>45681</v>
      </c>
      <c r="G778">
        <v>1200</v>
      </c>
      <c r="J778">
        <v>55</v>
      </c>
      <c r="K778">
        <v>55</v>
      </c>
    </row>
    <row r="779" spans="1:11" x14ac:dyDescent="0.3">
      <c r="A779" t="s">
        <v>796</v>
      </c>
      <c r="B779" t="s">
        <v>797</v>
      </c>
      <c r="C779">
        <v>92</v>
      </c>
      <c r="D779" t="s">
        <v>28</v>
      </c>
      <c r="E779" s="1">
        <v>45142</v>
      </c>
      <c r="J779">
        <v>67</v>
      </c>
      <c r="K779">
        <v>85</v>
      </c>
    </row>
    <row r="780" spans="1:11" x14ac:dyDescent="0.3">
      <c r="A780" t="s">
        <v>1268</v>
      </c>
      <c r="B780" t="s">
        <v>1269</v>
      </c>
      <c r="C780">
        <v>96</v>
      </c>
      <c r="D780" t="s">
        <v>28</v>
      </c>
      <c r="E780" s="1">
        <v>45520</v>
      </c>
      <c r="J780">
        <v>61</v>
      </c>
      <c r="K780">
        <v>68</v>
      </c>
    </row>
    <row r="781" spans="1:11" x14ac:dyDescent="0.3">
      <c r="A781" t="s">
        <v>824</v>
      </c>
      <c r="B781" t="s">
        <v>825</v>
      </c>
      <c r="C781">
        <v>120</v>
      </c>
      <c r="D781" t="s">
        <v>28</v>
      </c>
      <c r="E781" s="1">
        <v>44610</v>
      </c>
      <c r="J781">
        <v>70</v>
      </c>
      <c r="K781">
        <v>85</v>
      </c>
    </row>
    <row r="782" spans="1:11" x14ac:dyDescent="0.3">
      <c r="A782" t="s">
        <v>1577</v>
      </c>
      <c r="B782" t="s">
        <v>1578</v>
      </c>
      <c r="C782">
        <v>94</v>
      </c>
      <c r="D782" t="s">
        <v>28</v>
      </c>
      <c r="E782" s="1">
        <v>45729</v>
      </c>
      <c r="J782">
        <v>45</v>
      </c>
      <c r="K782">
        <v>47</v>
      </c>
    </row>
    <row r="783" spans="1:11" x14ac:dyDescent="0.3">
      <c r="A783" t="s">
        <v>1924</v>
      </c>
      <c r="B783" t="s">
        <v>1925</v>
      </c>
      <c r="C783">
        <v>156</v>
      </c>
      <c r="D783" t="s">
        <v>18</v>
      </c>
      <c r="E783" s="1">
        <v>45100</v>
      </c>
      <c r="J783">
        <v>31</v>
      </c>
      <c r="K783">
        <v>24</v>
      </c>
    </row>
    <row r="784" spans="1:11" x14ac:dyDescent="0.3">
      <c r="A784" t="s">
        <v>1659</v>
      </c>
      <c r="B784" t="s">
        <v>1660</v>
      </c>
      <c r="C784">
        <v>110</v>
      </c>
      <c r="D784" t="s">
        <v>15</v>
      </c>
      <c r="E784" s="1">
        <v>45224</v>
      </c>
      <c r="J784">
        <v>60</v>
      </c>
      <c r="K784">
        <v>43</v>
      </c>
    </row>
    <row r="785" spans="1:11" x14ac:dyDescent="0.3">
      <c r="A785" t="s">
        <v>1222</v>
      </c>
      <c r="B785" t="s">
        <v>1223</v>
      </c>
      <c r="C785">
        <v>111</v>
      </c>
      <c r="D785" t="s">
        <v>28</v>
      </c>
      <c r="E785" s="1">
        <v>45072</v>
      </c>
      <c r="J785">
        <v>63</v>
      </c>
      <c r="K785">
        <v>71</v>
      </c>
    </row>
    <row r="786" spans="1:11" x14ac:dyDescent="0.3">
      <c r="A786" t="s">
        <v>412</v>
      </c>
      <c r="B786" t="s">
        <v>413</v>
      </c>
      <c r="C786">
        <v>77</v>
      </c>
      <c r="D786" t="s">
        <v>18</v>
      </c>
      <c r="E786" s="1">
        <v>45016</v>
      </c>
      <c r="J786">
        <v>74</v>
      </c>
      <c r="K786">
        <v>94</v>
      </c>
    </row>
    <row r="787" spans="1:11" x14ac:dyDescent="0.3">
      <c r="A787" t="s">
        <v>1754</v>
      </c>
      <c r="B787" t="s">
        <v>1755</v>
      </c>
      <c r="C787">
        <v>90</v>
      </c>
      <c r="D787" t="s">
        <v>15</v>
      </c>
      <c r="E787" s="1">
        <v>45072</v>
      </c>
      <c r="J787">
        <v>39</v>
      </c>
      <c r="K787">
        <v>37</v>
      </c>
    </row>
    <row r="788" spans="1:11" x14ac:dyDescent="0.3">
      <c r="A788" t="s">
        <v>1888</v>
      </c>
      <c r="B788" t="s">
        <v>1889</v>
      </c>
      <c r="C788">
        <v>84</v>
      </c>
      <c r="D788" t="s">
        <v>15</v>
      </c>
      <c r="E788" s="1">
        <v>44617</v>
      </c>
      <c r="J788">
        <v>35</v>
      </c>
      <c r="K788">
        <v>27</v>
      </c>
    </row>
    <row r="789" spans="1:11" x14ac:dyDescent="0.3">
      <c r="A789" t="s">
        <v>1036</v>
      </c>
      <c r="B789" t="s">
        <v>1037</v>
      </c>
      <c r="C789">
        <v>98</v>
      </c>
      <c r="D789" t="s">
        <v>28</v>
      </c>
      <c r="E789" s="1">
        <v>45709</v>
      </c>
      <c r="J789">
        <v>62</v>
      </c>
      <c r="K789">
        <v>77</v>
      </c>
    </row>
    <row r="790" spans="1:11" x14ac:dyDescent="0.3">
      <c r="A790" t="s">
        <v>992</v>
      </c>
      <c r="B790" t="s">
        <v>993</v>
      </c>
      <c r="C790">
        <v>107</v>
      </c>
      <c r="D790" t="s">
        <v>28</v>
      </c>
      <c r="E790" s="1">
        <v>44706</v>
      </c>
      <c r="J790">
        <v>68</v>
      </c>
      <c r="K790">
        <v>80</v>
      </c>
    </row>
    <row r="791" spans="1:11" x14ac:dyDescent="0.3">
      <c r="A791" t="s">
        <v>1599</v>
      </c>
      <c r="B791" t="s">
        <v>1600</v>
      </c>
      <c r="C791">
        <v>118</v>
      </c>
      <c r="D791" t="s">
        <v>15</v>
      </c>
      <c r="E791" s="1">
        <v>45702</v>
      </c>
      <c r="J791">
        <v>42</v>
      </c>
      <c r="K791">
        <v>46</v>
      </c>
    </row>
    <row r="792" spans="1:11" x14ac:dyDescent="0.3">
      <c r="A792" t="s">
        <v>1330</v>
      </c>
      <c r="B792" t="s">
        <v>1331</v>
      </c>
      <c r="C792">
        <v>95</v>
      </c>
      <c r="D792" t="s">
        <v>28</v>
      </c>
      <c r="E792" s="1">
        <v>44981</v>
      </c>
      <c r="J792">
        <v>54</v>
      </c>
      <c r="K792">
        <v>65</v>
      </c>
    </row>
    <row r="793" spans="1:11" x14ac:dyDescent="0.3">
      <c r="A793" t="s">
        <v>61</v>
      </c>
      <c r="B793" t="s">
        <v>62</v>
      </c>
      <c r="C793">
        <v>92</v>
      </c>
      <c r="D793" t="s">
        <v>63</v>
      </c>
      <c r="E793" s="1">
        <v>45576</v>
      </c>
      <c r="J793">
        <v>69</v>
      </c>
      <c r="K793">
        <v>84</v>
      </c>
    </row>
    <row r="794" spans="1:11" x14ac:dyDescent="0.3">
      <c r="A794" t="s">
        <v>1813</v>
      </c>
      <c r="B794" t="s">
        <v>1814</v>
      </c>
      <c r="C794">
        <v>105</v>
      </c>
      <c r="D794" t="s">
        <v>15</v>
      </c>
      <c r="E794" s="1">
        <v>44799</v>
      </c>
      <c r="J794">
        <v>45</v>
      </c>
      <c r="K794">
        <v>32</v>
      </c>
    </row>
    <row r="795" spans="1:11" x14ac:dyDescent="0.3">
      <c r="A795" t="s">
        <v>1793</v>
      </c>
      <c r="B795" t="s">
        <v>1794</v>
      </c>
      <c r="C795">
        <v>139</v>
      </c>
      <c r="D795" t="s">
        <v>15</v>
      </c>
      <c r="E795" s="1">
        <v>45324</v>
      </c>
      <c r="J795">
        <v>35</v>
      </c>
      <c r="K795">
        <v>33</v>
      </c>
    </row>
    <row r="796" spans="1:11" x14ac:dyDescent="0.3">
      <c r="A796" t="s">
        <v>1944</v>
      </c>
      <c r="B796" t="s">
        <v>1945</v>
      </c>
      <c r="C796">
        <v>95</v>
      </c>
      <c r="D796" t="s">
        <v>28</v>
      </c>
      <c r="E796" s="1">
        <v>45114</v>
      </c>
      <c r="J796">
        <v>36</v>
      </c>
      <c r="K796">
        <v>22</v>
      </c>
    </row>
    <row r="797" spans="1:11" x14ac:dyDescent="0.3">
      <c r="A797" t="s">
        <v>940</v>
      </c>
      <c r="B797" t="s">
        <v>941</v>
      </c>
      <c r="C797">
        <v>120</v>
      </c>
      <c r="D797" t="s">
        <v>15</v>
      </c>
      <c r="E797" s="1">
        <v>45597</v>
      </c>
      <c r="J797">
        <v>71</v>
      </c>
      <c r="K797">
        <v>81</v>
      </c>
    </row>
    <row r="798" spans="1:11" x14ac:dyDescent="0.3">
      <c r="A798" t="s">
        <v>1781</v>
      </c>
      <c r="B798" t="s">
        <v>1782</v>
      </c>
      <c r="C798">
        <v>112</v>
      </c>
      <c r="D798" t="s">
        <v>28</v>
      </c>
      <c r="E798" s="1">
        <v>45534</v>
      </c>
      <c r="J798">
        <v>39</v>
      </c>
      <c r="K798">
        <v>34</v>
      </c>
    </row>
    <row r="799" spans="1:11" x14ac:dyDescent="0.3">
      <c r="A799" t="s">
        <v>930</v>
      </c>
      <c r="B799" t="s">
        <v>931</v>
      </c>
      <c r="C799">
        <v>103</v>
      </c>
      <c r="D799" t="s">
        <v>28</v>
      </c>
      <c r="E799" s="1">
        <v>44778</v>
      </c>
      <c r="J799">
        <v>70</v>
      </c>
      <c r="K799">
        <v>82</v>
      </c>
    </row>
    <row r="800" spans="1:11" x14ac:dyDescent="0.3">
      <c r="A800" t="s">
        <v>1670</v>
      </c>
      <c r="B800" t="s">
        <v>1671</v>
      </c>
      <c r="C800">
        <v>111</v>
      </c>
      <c r="D800" t="s">
        <v>15</v>
      </c>
      <c r="E800" s="1">
        <v>44804</v>
      </c>
      <c r="G800">
        <v>902</v>
      </c>
      <c r="I800">
        <v>33</v>
      </c>
      <c r="J800">
        <v>45</v>
      </c>
      <c r="K800">
        <v>43</v>
      </c>
    </row>
    <row r="801" spans="1:11" x14ac:dyDescent="0.3">
      <c r="A801" t="s">
        <v>174</v>
      </c>
      <c r="B801" t="s">
        <v>175</v>
      </c>
      <c r="C801">
        <v>100</v>
      </c>
      <c r="D801" t="s">
        <v>28</v>
      </c>
      <c r="E801" s="1">
        <v>45303</v>
      </c>
      <c r="J801">
        <v>38</v>
      </c>
      <c r="K801">
        <v>100</v>
      </c>
    </row>
    <row r="802" spans="1:11" x14ac:dyDescent="0.3">
      <c r="A802" t="s">
        <v>1202</v>
      </c>
      <c r="B802" t="s">
        <v>1203</v>
      </c>
      <c r="C802">
        <v>94</v>
      </c>
      <c r="D802" t="s">
        <v>28</v>
      </c>
      <c r="E802" s="1">
        <v>44701</v>
      </c>
      <c r="J802">
        <v>62</v>
      </c>
      <c r="K802">
        <v>72</v>
      </c>
    </row>
    <row r="803" spans="1:11" x14ac:dyDescent="0.3">
      <c r="A803" t="s">
        <v>693</v>
      </c>
      <c r="B803" t="s">
        <v>694</v>
      </c>
      <c r="C803">
        <v>102</v>
      </c>
      <c r="D803" t="s">
        <v>28</v>
      </c>
      <c r="E803" s="1">
        <v>45898</v>
      </c>
      <c r="G803">
        <v>554</v>
      </c>
      <c r="J803">
        <v>66</v>
      </c>
      <c r="K803">
        <v>87</v>
      </c>
    </row>
    <row r="804" spans="1:11" x14ac:dyDescent="0.3">
      <c r="A804" t="s">
        <v>1776</v>
      </c>
      <c r="B804">
        <v>65</v>
      </c>
      <c r="C804">
        <v>93</v>
      </c>
      <c r="D804" t="s">
        <v>15</v>
      </c>
      <c r="E804" s="1">
        <v>44995</v>
      </c>
      <c r="J804">
        <v>40</v>
      </c>
      <c r="K804">
        <v>35</v>
      </c>
    </row>
    <row r="805" spans="1:11" x14ac:dyDescent="0.3">
      <c r="A805" t="s">
        <v>1849</v>
      </c>
      <c r="B805" t="s">
        <v>1850</v>
      </c>
      <c r="C805">
        <v>91</v>
      </c>
      <c r="D805" t="s">
        <v>28</v>
      </c>
      <c r="E805" s="1">
        <v>45681</v>
      </c>
      <c r="J805">
        <v>38</v>
      </c>
      <c r="K805">
        <v>29</v>
      </c>
    </row>
    <row r="806" spans="1:11" x14ac:dyDescent="0.3">
      <c r="A806" t="s">
        <v>1356</v>
      </c>
      <c r="B806" t="s">
        <v>1357</v>
      </c>
      <c r="C806">
        <v>105</v>
      </c>
      <c r="D806" t="s">
        <v>15</v>
      </c>
      <c r="E806" s="1">
        <v>45240</v>
      </c>
      <c r="J806">
        <v>50</v>
      </c>
      <c r="K806">
        <v>63</v>
      </c>
    </row>
    <row r="807" spans="1:11" x14ac:dyDescent="0.3">
      <c r="A807" t="s">
        <v>618</v>
      </c>
      <c r="B807" t="s">
        <v>619</v>
      </c>
      <c r="C807">
        <v>89</v>
      </c>
      <c r="D807" t="s">
        <v>28</v>
      </c>
      <c r="E807" s="1">
        <v>45660</v>
      </c>
      <c r="J807">
        <v>64</v>
      </c>
      <c r="K807">
        <v>89</v>
      </c>
    </row>
    <row r="808" spans="1:11" x14ac:dyDescent="0.3">
      <c r="A808" t="s">
        <v>1902</v>
      </c>
      <c r="B808" t="s">
        <v>1903</v>
      </c>
      <c r="C808">
        <v>84</v>
      </c>
      <c r="D808" t="s">
        <v>15</v>
      </c>
      <c r="E808" s="1">
        <v>45534</v>
      </c>
      <c r="J808">
        <v>28</v>
      </c>
      <c r="K808">
        <v>25</v>
      </c>
    </row>
    <row r="809" spans="1:11" x14ac:dyDescent="0.3">
      <c r="A809" t="s">
        <v>1936</v>
      </c>
      <c r="B809" t="s">
        <v>1937</v>
      </c>
      <c r="C809">
        <v>111</v>
      </c>
      <c r="D809" t="s">
        <v>28</v>
      </c>
      <c r="E809" s="1">
        <v>44694</v>
      </c>
      <c r="J809">
        <v>47</v>
      </c>
      <c r="K809">
        <v>23</v>
      </c>
    </row>
    <row r="810" spans="1:11" x14ac:dyDescent="0.3">
      <c r="A810" t="s">
        <v>1982</v>
      </c>
      <c r="B810" t="s">
        <v>1983</v>
      </c>
      <c r="C810">
        <v>104</v>
      </c>
      <c r="D810" t="s">
        <v>15</v>
      </c>
      <c r="E810" s="1">
        <v>44652</v>
      </c>
      <c r="J810">
        <v>35</v>
      </c>
      <c r="K810">
        <v>15</v>
      </c>
    </row>
    <row r="811" spans="1:11" x14ac:dyDescent="0.3">
      <c r="A811" t="s">
        <v>1404</v>
      </c>
      <c r="B811" t="s">
        <v>1405</v>
      </c>
      <c r="C811">
        <v>90</v>
      </c>
      <c r="D811" t="s">
        <v>25</v>
      </c>
      <c r="E811" s="1">
        <v>45135</v>
      </c>
      <c r="J811">
        <v>54</v>
      </c>
      <c r="K811">
        <v>60</v>
      </c>
    </row>
    <row r="812" spans="1:11" x14ac:dyDescent="0.3">
      <c r="A812" t="s">
        <v>1667</v>
      </c>
      <c r="B812" t="s">
        <v>1668</v>
      </c>
      <c r="C812">
        <v>167</v>
      </c>
      <c r="D812" t="s">
        <v>1669</v>
      </c>
      <c r="E812" s="1">
        <v>44832</v>
      </c>
      <c r="J812">
        <v>50</v>
      </c>
      <c r="K812">
        <v>43</v>
      </c>
    </row>
    <row r="813" spans="1:11" x14ac:dyDescent="0.3">
      <c r="A813" t="s">
        <v>1338</v>
      </c>
      <c r="B813" t="s">
        <v>1339</v>
      </c>
      <c r="C813">
        <v>104</v>
      </c>
      <c r="D813" t="s">
        <v>63</v>
      </c>
      <c r="E813" s="1">
        <v>45448</v>
      </c>
      <c r="J813">
        <v>57</v>
      </c>
      <c r="K813">
        <v>64</v>
      </c>
    </row>
    <row r="814" spans="1:11" x14ac:dyDescent="0.3">
      <c r="A814" t="s">
        <v>1152</v>
      </c>
      <c r="B814" t="s">
        <v>1153</v>
      </c>
      <c r="C814">
        <v>85</v>
      </c>
      <c r="D814" t="s">
        <v>28</v>
      </c>
      <c r="E814" s="1">
        <v>45303</v>
      </c>
      <c r="J814">
        <v>59</v>
      </c>
      <c r="K814">
        <v>73</v>
      </c>
    </row>
    <row r="815" spans="1:11" x14ac:dyDescent="0.3">
      <c r="A815" t="s">
        <v>1126</v>
      </c>
      <c r="B815" t="s">
        <v>1127</v>
      </c>
      <c r="C815">
        <v>109</v>
      </c>
      <c r="D815" t="s">
        <v>18</v>
      </c>
      <c r="E815" s="1">
        <v>44854</v>
      </c>
      <c r="J815">
        <v>58</v>
      </c>
      <c r="K815">
        <v>75</v>
      </c>
    </row>
    <row r="816" spans="1:11" x14ac:dyDescent="0.3">
      <c r="A816" t="s">
        <v>1208</v>
      </c>
      <c r="B816" t="s">
        <v>1209</v>
      </c>
      <c r="C816">
        <v>86</v>
      </c>
      <c r="D816" t="s">
        <v>28</v>
      </c>
      <c r="E816" s="1">
        <v>45562</v>
      </c>
      <c r="J816">
        <v>52</v>
      </c>
      <c r="K816">
        <v>71</v>
      </c>
    </row>
    <row r="817" spans="1:11" x14ac:dyDescent="0.3">
      <c r="A817" t="s">
        <v>1868</v>
      </c>
      <c r="B817" t="s">
        <v>1869</v>
      </c>
      <c r="C817">
        <v>98</v>
      </c>
      <c r="D817" t="s">
        <v>28</v>
      </c>
      <c r="E817" s="1">
        <v>45499</v>
      </c>
      <c r="G817">
        <v>1500</v>
      </c>
      <c r="I817">
        <v>24</v>
      </c>
      <c r="J817">
        <v>44</v>
      </c>
      <c r="K817">
        <v>28</v>
      </c>
    </row>
    <row r="818" spans="1:11" x14ac:dyDescent="0.3">
      <c r="A818" t="s">
        <v>1096</v>
      </c>
      <c r="B818" t="s">
        <v>1097</v>
      </c>
      <c r="C818">
        <v>116</v>
      </c>
      <c r="D818" t="s">
        <v>15</v>
      </c>
      <c r="E818" s="1">
        <v>44827</v>
      </c>
      <c r="G818">
        <v>805</v>
      </c>
      <c r="I818">
        <v>29</v>
      </c>
      <c r="J818">
        <v>52</v>
      </c>
      <c r="K818">
        <v>76</v>
      </c>
    </row>
    <row r="819" spans="1:11" x14ac:dyDescent="0.3">
      <c r="A819" t="s">
        <v>836</v>
      </c>
      <c r="B819" t="s">
        <v>837</v>
      </c>
      <c r="C819">
        <v>107</v>
      </c>
      <c r="D819" t="s">
        <v>28</v>
      </c>
      <c r="E819" s="1">
        <v>45265</v>
      </c>
      <c r="I819">
        <v>37</v>
      </c>
      <c r="J819">
        <v>61</v>
      </c>
      <c r="K819">
        <v>84</v>
      </c>
    </row>
    <row r="820" spans="1:11" x14ac:dyDescent="0.3">
      <c r="A820" t="s">
        <v>713</v>
      </c>
      <c r="B820" t="s">
        <v>714</v>
      </c>
      <c r="C820">
        <v>114</v>
      </c>
      <c r="D820" t="s">
        <v>28</v>
      </c>
      <c r="E820" s="1">
        <v>44758</v>
      </c>
      <c r="I820">
        <v>43</v>
      </c>
      <c r="J820">
        <v>73</v>
      </c>
      <c r="K820">
        <v>87</v>
      </c>
    </row>
    <row r="821" spans="1:11" x14ac:dyDescent="0.3">
      <c r="A821" t="s">
        <v>647</v>
      </c>
      <c r="B821" t="s">
        <v>648</v>
      </c>
      <c r="C821">
        <v>84</v>
      </c>
      <c r="D821" t="s">
        <v>15</v>
      </c>
      <c r="E821" s="1">
        <v>44713</v>
      </c>
      <c r="G821">
        <v>1500</v>
      </c>
      <c r="I821">
        <v>45</v>
      </c>
      <c r="J821">
        <v>74</v>
      </c>
      <c r="K821">
        <v>89</v>
      </c>
    </row>
    <row r="822" spans="1:11" x14ac:dyDescent="0.3">
      <c r="A822" t="s">
        <v>1130</v>
      </c>
      <c r="B822" t="s">
        <v>1131</v>
      </c>
      <c r="C822">
        <v>96</v>
      </c>
      <c r="D822" t="s">
        <v>28</v>
      </c>
      <c r="E822" s="1">
        <v>44785</v>
      </c>
      <c r="I822">
        <v>49</v>
      </c>
      <c r="J822">
        <v>59</v>
      </c>
      <c r="K822">
        <v>75</v>
      </c>
    </row>
    <row r="823" spans="1:11" x14ac:dyDescent="0.3">
      <c r="A823" t="s">
        <v>602</v>
      </c>
      <c r="B823" t="s">
        <v>603</v>
      </c>
      <c r="C823">
        <v>89</v>
      </c>
      <c r="D823" t="s">
        <v>28</v>
      </c>
      <c r="E823" s="1">
        <v>45244</v>
      </c>
      <c r="J823">
        <v>64</v>
      </c>
      <c r="K823">
        <v>90</v>
      </c>
    </row>
    <row r="824" spans="1:11" x14ac:dyDescent="0.3">
      <c r="A824" t="s">
        <v>1180</v>
      </c>
      <c r="B824" t="s">
        <v>1181</v>
      </c>
      <c r="C824">
        <v>105</v>
      </c>
      <c r="D824" t="s">
        <v>28</v>
      </c>
      <c r="E824" s="1">
        <v>45246</v>
      </c>
      <c r="J824">
        <v>53</v>
      </c>
      <c r="K824">
        <v>72</v>
      </c>
    </row>
    <row r="825" spans="1:11" x14ac:dyDescent="0.3">
      <c r="A825" t="s">
        <v>639</v>
      </c>
      <c r="B825" t="s">
        <v>640</v>
      </c>
      <c r="C825">
        <v>107</v>
      </c>
      <c r="D825" t="s">
        <v>28</v>
      </c>
      <c r="E825" s="1">
        <v>45049</v>
      </c>
      <c r="J825">
        <v>86</v>
      </c>
      <c r="K825">
        <v>89</v>
      </c>
    </row>
    <row r="826" spans="1:11" x14ac:dyDescent="0.3">
      <c r="A826" t="s">
        <v>364</v>
      </c>
      <c r="B826" t="s">
        <v>365</v>
      </c>
      <c r="C826">
        <v>96</v>
      </c>
      <c r="D826" t="s">
        <v>15</v>
      </c>
      <c r="E826" s="1">
        <v>44897</v>
      </c>
      <c r="J826">
        <v>80</v>
      </c>
      <c r="K826">
        <v>95</v>
      </c>
    </row>
    <row r="827" spans="1:11" x14ac:dyDescent="0.3">
      <c r="A827" t="s">
        <v>1362</v>
      </c>
      <c r="B827" t="s">
        <v>1363</v>
      </c>
      <c r="C827">
        <v>135</v>
      </c>
      <c r="D827" t="s">
        <v>28</v>
      </c>
      <c r="E827" s="1">
        <v>44848</v>
      </c>
      <c r="J827">
        <v>65</v>
      </c>
      <c r="K827">
        <v>63</v>
      </c>
    </row>
    <row r="828" spans="1:11" x14ac:dyDescent="0.3">
      <c r="A828" t="s">
        <v>649</v>
      </c>
      <c r="B828" t="s">
        <v>650</v>
      </c>
      <c r="C828">
        <v>93</v>
      </c>
      <c r="D828" t="s">
        <v>28</v>
      </c>
      <c r="E828" s="1">
        <v>44631</v>
      </c>
      <c r="J828">
        <v>71</v>
      </c>
      <c r="K828">
        <v>89</v>
      </c>
    </row>
    <row r="829" spans="1:11" x14ac:dyDescent="0.3">
      <c r="A829" t="s">
        <v>1823</v>
      </c>
      <c r="B829" t="s">
        <v>1824</v>
      </c>
      <c r="C829">
        <v>92</v>
      </c>
      <c r="D829" t="s">
        <v>15</v>
      </c>
      <c r="E829" s="1">
        <v>45177</v>
      </c>
      <c r="J829">
        <v>35</v>
      </c>
      <c r="K829">
        <v>31</v>
      </c>
    </row>
    <row r="830" spans="1:11" x14ac:dyDescent="0.3">
      <c r="A830" t="s">
        <v>1700</v>
      </c>
      <c r="B830" t="s">
        <v>1701</v>
      </c>
      <c r="C830">
        <v>94</v>
      </c>
      <c r="D830" t="s">
        <v>28</v>
      </c>
      <c r="E830" s="1">
        <v>45568</v>
      </c>
      <c r="J830">
        <v>45</v>
      </c>
      <c r="K830">
        <v>40</v>
      </c>
    </row>
    <row r="831" spans="1:11" x14ac:dyDescent="0.3">
      <c r="A831" t="s">
        <v>1418</v>
      </c>
      <c r="B831" t="s">
        <v>1419</v>
      </c>
      <c r="C831">
        <v>98</v>
      </c>
      <c r="D831" t="s">
        <v>28</v>
      </c>
      <c r="E831" s="1">
        <v>45198</v>
      </c>
      <c r="J831">
        <v>58</v>
      </c>
      <c r="K831">
        <v>59</v>
      </c>
    </row>
    <row r="832" spans="1:11" x14ac:dyDescent="0.3">
      <c r="A832" t="s">
        <v>1674</v>
      </c>
      <c r="B832" t="s">
        <v>1675</v>
      </c>
      <c r="C832">
        <v>89</v>
      </c>
      <c r="D832" t="s">
        <v>28</v>
      </c>
      <c r="E832" s="1">
        <v>45582</v>
      </c>
      <c r="J832">
        <v>50</v>
      </c>
      <c r="K832">
        <v>42</v>
      </c>
    </row>
    <row r="833" spans="1:11" x14ac:dyDescent="0.3">
      <c r="A833" t="s">
        <v>1992</v>
      </c>
      <c r="B833" t="s">
        <v>1993</v>
      </c>
      <c r="C833">
        <v>88</v>
      </c>
      <c r="D833" t="s">
        <v>160</v>
      </c>
      <c r="E833" s="1">
        <v>45421</v>
      </c>
      <c r="J833">
        <v>39</v>
      </c>
      <c r="K833">
        <v>13</v>
      </c>
    </row>
    <row r="834" spans="1:11" x14ac:dyDescent="0.3">
      <c r="A834" t="s">
        <v>701</v>
      </c>
      <c r="B834" t="s">
        <v>702</v>
      </c>
      <c r="C834">
        <v>97</v>
      </c>
      <c r="D834" t="s">
        <v>28</v>
      </c>
      <c r="E834" s="1">
        <v>45093</v>
      </c>
      <c r="J834">
        <v>67</v>
      </c>
      <c r="K834">
        <v>87</v>
      </c>
    </row>
    <row r="835" spans="1:11" x14ac:dyDescent="0.3">
      <c r="A835" t="s">
        <v>1906</v>
      </c>
      <c r="B835" t="s">
        <v>1907</v>
      </c>
      <c r="C835">
        <v>104</v>
      </c>
      <c r="D835" t="s">
        <v>15</v>
      </c>
      <c r="E835" s="1">
        <v>45359</v>
      </c>
      <c r="J835">
        <v>34</v>
      </c>
      <c r="K835">
        <v>25</v>
      </c>
    </row>
    <row r="836" spans="1:11" x14ac:dyDescent="0.3">
      <c r="A836" t="s">
        <v>1272</v>
      </c>
      <c r="B836" t="s">
        <v>1273</v>
      </c>
      <c r="C836">
        <v>112</v>
      </c>
      <c r="D836" t="s">
        <v>15</v>
      </c>
      <c r="E836" s="1">
        <v>45303</v>
      </c>
      <c r="J836">
        <v>58</v>
      </c>
      <c r="K836">
        <v>68</v>
      </c>
    </row>
    <row r="837" spans="1:11" x14ac:dyDescent="0.3">
      <c r="A837" t="s">
        <v>1466</v>
      </c>
      <c r="B837" t="s">
        <v>1467</v>
      </c>
      <c r="C837">
        <v>112</v>
      </c>
      <c r="D837" t="s">
        <v>28</v>
      </c>
      <c r="E837" s="1">
        <v>45597</v>
      </c>
      <c r="J837">
        <v>51</v>
      </c>
      <c r="K837">
        <v>56</v>
      </c>
    </row>
    <row r="838" spans="1:11" x14ac:dyDescent="0.3">
      <c r="A838" t="s">
        <v>1484</v>
      </c>
      <c r="B838" t="s">
        <v>1485</v>
      </c>
      <c r="C838">
        <v>106</v>
      </c>
      <c r="D838" t="s">
        <v>28</v>
      </c>
      <c r="E838" s="1">
        <v>44617</v>
      </c>
      <c r="J838">
        <v>50</v>
      </c>
      <c r="K838">
        <v>56</v>
      </c>
    </row>
    <row r="839" spans="1:11" x14ac:dyDescent="0.3">
      <c r="A839" t="s">
        <v>1182</v>
      </c>
      <c r="B839" t="s">
        <v>1183</v>
      </c>
      <c r="C839">
        <v>105</v>
      </c>
      <c r="D839" t="s">
        <v>28</v>
      </c>
      <c r="E839" s="1">
        <v>45225</v>
      </c>
      <c r="J839">
        <v>55</v>
      </c>
      <c r="K839">
        <v>72</v>
      </c>
    </row>
    <row r="840" spans="1:11" x14ac:dyDescent="0.3">
      <c r="A840" t="s">
        <v>661</v>
      </c>
      <c r="B840" t="s">
        <v>662</v>
      </c>
      <c r="C840">
        <v>127</v>
      </c>
      <c r="D840" t="s">
        <v>15</v>
      </c>
      <c r="E840" s="1">
        <v>45604</v>
      </c>
      <c r="J840">
        <v>69</v>
      </c>
      <c r="K840">
        <v>88</v>
      </c>
    </row>
    <row r="841" spans="1:11" x14ac:dyDescent="0.3">
      <c r="A841" t="s">
        <v>1326</v>
      </c>
      <c r="B841" t="s">
        <v>1327</v>
      </c>
      <c r="C841">
        <v>129</v>
      </c>
      <c r="D841" t="s">
        <v>15</v>
      </c>
      <c r="E841" s="1">
        <v>45303</v>
      </c>
      <c r="J841">
        <v>57</v>
      </c>
      <c r="K841">
        <v>65</v>
      </c>
    </row>
    <row r="842" spans="1:11" x14ac:dyDescent="0.3">
      <c r="A842" t="s">
        <v>2010</v>
      </c>
      <c r="B842" t="s">
        <v>2011</v>
      </c>
      <c r="C842">
        <v>101</v>
      </c>
      <c r="D842" t="s">
        <v>28</v>
      </c>
      <c r="E842" s="1">
        <v>44799</v>
      </c>
      <c r="J842">
        <v>25</v>
      </c>
      <c r="K842">
        <v>7</v>
      </c>
    </row>
    <row r="843" spans="1:11" x14ac:dyDescent="0.3">
      <c r="A843" t="s">
        <v>1557</v>
      </c>
      <c r="B843" t="s">
        <v>1558</v>
      </c>
      <c r="C843">
        <v>93</v>
      </c>
      <c r="D843" t="s">
        <v>28</v>
      </c>
      <c r="E843" s="1">
        <v>45632</v>
      </c>
      <c r="J843">
        <v>46</v>
      </c>
      <c r="K843">
        <v>49</v>
      </c>
    </row>
    <row r="844" spans="1:11" x14ac:dyDescent="0.3">
      <c r="A844" t="s">
        <v>132</v>
      </c>
      <c r="B844" t="s">
        <v>133</v>
      </c>
      <c r="C844">
        <v>106</v>
      </c>
      <c r="D844" t="s">
        <v>15</v>
      </c>
      <c r="E844" s="1">
        <v>45736</v>
      </c>
      <c r="G844">
        <v>1000</v>
      </c>
      <c r="J844">
        <v>41</v>
      </c>
      <c r="K844">
        <v>38</v>
      </c>
    </row>
    <row r="845" spans="1:11" x14ac:dyDescent="0.3">
      <c r="A845" t="s">
        <v>697</v>
      </c>
      <c r="B845" t="s">
        <v>698</v>
      </c>
      <c r="C845">
        <v>104</v>
      </c>
      <c r="D845" t="s">
        <v>28</v>
      </c>
      <c r="E845" s="1">
        <v>45429</v>
      </c>
      <c r="J845">
        <v>72</v>
      </c>
      <c r="K845">
        <v>87</v>
      </c>
    </row>
    <row r="846" spans="1:11" x14ac:dyDescent="0.3">
      <c r="A846" t="s">
        <v>1559</v>
      </c>
      <c r="B846" t="s">
        <v>1560</v>
      </c>
      <c r="C846">
        <v>98</v>
      </c>
      <c r="D846" t="s">
        <v>28</v>
      </c>
      <c r="E846" s="1">
        <v>45359</v>
      </c>
      <c r="J846">
        <v>53</v>
      </c>
      <c r="K846">
        <v>49</v>
      </c>
    </row>
    <row r="847" spans="1:11" x14ac:dyDescent="0.3">
      <c r="A847" t="s">
        <v>1779</v>
      </c>
      <c r="B847" t="s">
        <v>1780</v>
      </c>
      <c r="C847">
        <v>115</v>
      </c>
      <c r="D847" t="s">
        <v>28</v>
      </c>
      <c r="E847" s="1">
        <v>44638</v>
      </c>
      <c r="J847">
        <v>53</v>
      </c>
      <c r="K847">
        <v>35</v>
      </c>
    </row>
    <row r="848" spans="1:11" x14ac:dyDescent="0.3">
      <c r="A848" t="s">
        <v>1100</v>
      </c>
      <c r="B848" t="s">
        <v>1101</v>
      </c>
      <c r="C848">
        <v>119</v>
      </c>
      <c r="D848" t="s">
        <v>28</v>
      </c>
      <c r="E848" s="1">
        <v>45772</v>
      </c>
      <c r="G848">
        <v>761</v>
      </c>
      <c r="J848">
        <v>59</v>
      </c>
      <c r="K848">
        <v>75</v>
      </c>
    </row>
    <row r="849" spans="1:11" x14ac:dyDescent="0.3">
      <c r="A849" t="s">
        <v>645</v>
      </c>
      <c r="B849" t="s">
        <v>646</v>
      </c>
      <c r="C849">
        <v>116</v>
      </c>
      <c r="D849" t="s">
        <v>28</v>
      </c>
      <c r="E849" s="1">
        <v>44887</v>
      </c>
      <c r="J849">
        <v>76</v>
      </c>
      <c r="K849">
        <v>89</v>
      </c>
    </row>
    <row r="850" spans="1:11" x14ac:dyDescent="0.3">
      <c r="A850" t="s">
        <v>663</v>
      </c>
      <c r="B850" t="s">
        <v>664</v>
      </c>
      <c r="C850">
        <v>111</v>
      </c>
      <c r="D850" t="s">
        <v>28</v>
      </c>
      <c r="E850" s="1">
        <v>45527</v>
      </c>
      <c r="J850">
        <v>30</v>
      </c>
      <c r="K850">
        <v>88</v>
      </c>
    </row>
    <row r="851" spans="1:11" x14ac:dyDescent="0.3">
      <c r="A851" t="s">
        <v>1942</v>
      </c>
      <c r="B851" t="s">
        <v>1943</v>
      </c>
      <c r="C851">
        <v>111</v>
      </c>
      <c r="D851" t="s">
        <v>28</v>
      </c>
      <c r="E851" s="1">
        <v>45205</v>
      </c>
      <c r="J851">
        <v>39</v>
      </c>
      <c r="K851">
        <v>22</v>
      </c>
    </row>
    <row r="852" spans="1:11" x14ac:dyDescent="0.3">
      <c r="A852" t="s">
        <v>1827</v>
      </c>
      <c r="B852" t="s">
        <v>1828</v>
      </c>
      <c r="C852">
        <v>112</v>
      </c>
      <c r="D852" t="s">
        <v>28</v>
      </c>
      <c r="E852" s="1">
        <v>45072</v>
      </c>
      <c r="J852">
        <v>37</v>
      </c>
      <c r="K852">
        <v>31</v>
      </c>
    </row>
    <row r="853" spans="1:11" x14ac:dyDescent="0.3">
      <c r="A853" t="s">
        <v>600</v>
      </c>
      <c r="B853" t="s">
        <v>601</v>
      </c>
      <c r="C853">
        <v>92</v>
      </c>
      <c r="D853" t="s">
        <v>12</v>
      </c>
      <c r="E853" s="1">
        <v>45282</v>
      </c>
      <c r="G853">
        <v>1300</v>
      </c>
      <c r="I853">
        <v>23</v>
      </c>
      <c r="J853">
        <v>87</v>
      </c>
      <c r="K853">
        <v>90</v>
      </c>
    </row>
    <row r="854" spans="1:11" x14ac:dyDescent="0.3">
      <c r="A854" t="s">
        <v>490</v>
      </c>
      <c r="B854" t="s">
        <v>491</v>
      </c>
      <c r="C854">
        <v>94</v>
      </c>
      <c r="D854" t="s">
        <v>28</v>
      </c>
      <c r="E854" s="1">
        <v>44682</v>
      </c>
      <c r="G854">
        <v>1500</v>
      </c>
      <c r="I854">
        <v>29</v>
      </c>
      <c r="J854">
        <v>77</v>
      </c>
      <c r="K854">
        <v>93</v>
      </c>
    </row>
    <row r="855" spans="1:11" x14ac:dyDescent="0.3">
      <c r="A855" t="s">
        <v>1054</v>
      </c>
      <c r="B855" t="s">
        <v>1055</v>
      </c>
      <c r="C855">
        <v>95</v>
      </c>
      <c r="D855" t="s">
        <v>18</v>
      </c>
      <c r="E855" s="1">
        <v>44988</v>
      </c>
      <c r="G855">
        <v>1300</v>
      </c>
      <c r="I855">
        <v>40</v>
      </c>
      <c r="J855">
        <v>65</v>
      </c>
      <c r="K855">
        <v>77</v>
      </c>
    </row>
    <row r="856" spans="1:11" x14ac:dyDescent="0.3">
      <c r="A856" t="s">
        <v>1374</v>
      </c>
      <c r="B856" t="s">
        <v>1375</v>
      </c>
      <c r="C856">
        <v>98</v>
      </c>
      <c r="D856" t="s">
        <v>28</v>
      </c>
      <c r="E856" s="1">
        <v>45624</v>
      </c>
      <c r="J856">
        <v>57</v>
      </c>
      <c r="K856">
        <v>62</v>
      </c>
    </row>
    <row r="857" spans="1:11" x14ac:dyDescent="0.3">
      <c r="A857" t="s">
        <v>1160</v>
      </c>
      <c r="B857" t="s">
        <v>1161</v>
      </c>
      <c r="C857">
        <v>85</v>
      </c>
      <c r="D857" t="s">
        <v>28</v>
      </c>
      <c r="E857" s="1">
        <v>45210</v>
      </c>
      <c r="J857">
        <v>60</v>
      </c>
      <c r="K857">
        <v>73</v>
      </c>
    </row>
    <row r="858" spans="1:11" x14ac:dyDescent="0.3">
      <c r="A858" t="s">
        <v>1530</v>
      </c>
      <c r="B858" t="s">
        <v>1531</v>
      </c>
      <c r="C858">
        <v>101</v>
      </c>
      <c r="D858" t="s">
        <v>28</v>
      </c>
      <c r="E858" s="1">
        <v>45548</v>
      </c>
      <c r="J858">
        <v>54</v>
      </c>
      <c r="K858">
        <v>51</v>
      </c>
    </row>
    <row r="859" spans="1:11" x14ac:dyDescent="0.3">
      <c r="A859" t="s">
        <v>879</v>
      </c>
      <c r="B859" t="s">
        <v>880</v>
      </c>
      <c r="C859">
        <v>117</v>
      </c>
      <c r="D859" t="s">
        <v>12</v>
      </c>
      <c r="E859" s="1">
        <v>44743</v>
      </c>
      <c r="J859">
        <v>65</v>
      </c>
      <c r="K859">
        <v>83</v>
      </c>
    </row>
    <row r="860" spans="1:11" x14ac:dyDescent="0.3">
      <c r="A860" t="s">
        <v>1376</v>
      </c>
      <c r="B860" t="s">
        <v>1377</v>
      </c>
      <c r="C860">
        <v>88</v>
      </c>
      <c r="D860" t="s">
        <v>28</v>
      </c>
      <c r="E860" s="1">
        <v>45138</v>
      </c>
      <c r="J860">
        <v>61</v>
      </c>
      <c r="K860">
        <v>62</v>
      </c>
    </row>
    <row r="861" spans="1:11" x14ac:dyDescent="0.3">
      <c r="A861" t="s">
        <v>628</v>
      </c>
      <c r="B861" t="s">
        <v>629</v>
      </c>
      <c r="C861">
        <v>102</v>
      </c>
      <c r="D861" t="s">
        <v>28</v>
      </c>
      <c r="E861" s="1">
        <v>45310</v>
      </c>
      <c r="J861">
        <v>65</v>
      </c>
      <c r="K861">
        <v>89</v>
      </c>
    </row>
    <row r="862" spans="1:11" x14ac:dyDescent="0.3">
      <c r="A862" t="s">
        <v>1300</v>
      </c>
      <c r="B862" t="s">
        <v>1301</v>
      </c>
      <c r="C862">
        <v>104</v>
      </c>
      <c r="D862" t="s">
        <v>28</v>
      </c>
      <c r="E862" s="1">
        <v>44999</v>
      </c>
      <c r="J862">
        <v>64</v>
      </c>
      <c r="K862">
        <v>67</v>
      </c>
    </row>
    <row r="863" spans="1:11" x14ac:dyDescent="0.3">
      <c r="A863" t="s">
        <v>1974</v>
      </c>
      <c r="B863" t="s">
        <v>1975</v>
      </c>
      <c r="C863">
        <v>102</v>
      </c>
      <c r="D863" t="s">
        <v>15</v>
      </c>
      <c r="E863" s="1">
        <v>44729</v>
      </c>
      <c r="J863">
        <v>38</v>
      </c>
      <c r="K863">
        <v>17</v>
      </c>
    </row>
    <row r="864" spans="1:11" x14ac:dyDescent="0.3">
      <c r="A864" t="s">
        <v>952</v>
      </c>
      <c r="B864" t="s">
        <v>953</v>
      </c>
      <c r="C864">
        <v>97</v>
      </c>
      <c r="D864" t="s">
        <v>28</v>
      </c>
      <c r="E864" s="1">
        <v>45268</v>
      </c>
      <c r="J864">
        <v>72</v>
      </c>
      <c r="K864">
        <v>81</v>
      </c>
    </row>
    <row r="865" spans="1:11" x14ac:dyDescent="0.3">
      <c r="A865" t="s">
        <v>1563</v>
      </c>
      <c r="B865" t="s">
        <v>1564</v>
      </c>
      <c r="C865">
        <v>109</v>
      </c>
      <c r="D865" t="s">
        <v>28</v>
      </c>
      <c r="E865" s="1">
        <v>45687</v>
      </c>
      <c r="J865">
        <v>51</v>
      </c>
      <c r="K865">
        <v>48</v>
      </c>
    </row>
    <row r="866" spans="1:11" x14ac:dyDescent="0.3">
      <c r="A866" t="s">
        <v>1714</v>
      </c>
      <c r="B866" t="s">
        <v>1715</v>
      </c>
      <c r="C866">
        <v>96</v>
      </c>
      <c r="D866" t="s">
        <v>15</v>
      </c>
      <c r="E866" s="1">
        <v>44778</v>
      </c>
      <c r="I866">
        <v>47</v>
      </c>
      <c r="J866">
        <v>41</v>
      </c>
      <c r="K866">
        <v>40</v>
      </c>
    </row>
    <row r="867" spans="1:11" x14ac:dyDescent="0.3">
      <c r="A867" t="s">
        <v>1970</v>
      </c>
      <c r="B867" t="s">
        <v>1971</v>
      </c>
      <c r="C867">
        <v>95</v>
      </c>
      <c r="D867" t="s">
        <v>28</v>
      </c>
      <c r="E867" s="1">
        <v>45561</v>
      </c>
      <c r="J867">
        <v>33</v>
      </c>
      <c r="K867">
        <v>17</v>
      </c>
    </row>
    <row r="868" spans="1:11" x14ac:dyDescent="0.3">
      <c r="A868" t="s">
        <v>1734</v>
      </c>
      <c r="B868" t="s">
        <v>1735</v>
      </c>
      <c r="C868">
        <v>106</v>
      </c>
      <c r="D868" t="s">
        <v>28</v>
      </c>
      <c r="E868" s="1">
        <v>44729</v>
      </c>
      <c r="J868">
        <v>54</v>
      </c>
      <c r="K868">
        <v>39</v>
      </c>
    </row>
    <row r="869" spans="1:11" x14ac:dyDescent="0.3">
      <c r="A869" t="s">
        <v>1720</v>
      </c>
      <c r="B869" t="s">
        <v>1721</v>
      </c>
      <c r="C869">
        <v>87</v>
      </c>
      <c r="D869" t="s">
        <v>90</v>
      </c>
      <c r="E869" s="1">
        <v>45616</v>
      </c>
      <c r="J869">
        <v>34</v>
      </c>
      <c r="K869">
        <v>39</v>
      </c>
    </row>
    <row r="870" spans="1:11" x14ac:dyDescent="0.3">
      <c r="A870" t="s">
        <v>1390</v>
      </c>
      <c r="B870" t="s">
        <v>1391</v>
      </c>
      <c r="C870">
        <v>95</v>
      </c>
      <c r="D870" t="s">
        <v>28</v>
      </c>
      <c r="E870" s="1">
        <v>45310</v>
      </c>
      <c r="J870">
        <v>53</v>
      </c>
      <c r="K870">
        <v>61</v>
      </c>
    </row>
    <row r="871" spans="1:11" x14ac:dyDescent="0.3">
      <c r="A871" t="s">
        <v>1922</v>
      </c>
      <c r="B871" t="s">
        <v>1923</v>
      </c>
      <c r="C871">
        <v>110</v>
      </c>
      <c r="D871" t="s">
        <v>28</v>
      </c>
      <c r="E871" s="1">
        <v>45237</v>
      </c>
      <c r="J871">
        <v>44</v>
      </c>
      <c r="K871">
        <v>24</v>
      </c>
    </row>
    <row r="872" spans="1:11" x14ac:dyDescent="0.3">
      <c r="A872" t="s">
        <v>1226</v>
      </c>
      <c r="B872" t="s">
        <v>1227</v>
      </c>
      <c r="C872">
        <v>106</v>
      </c>
      <c r="D872" t="s">
        <v>28</v>
      </c>
      <c r="E872" s="1">
        <v>44967</v>
      </c>
      <c r="J872">
        <v>57</v>
      </c>
      <c r="K872">
        <v>71</v>
      </c>
    </row>
    <row r="873" spans="1:11" x14ac:dyDescent="0.3">
      <c r="A873" t="s">
        <v>120</v>
      </c>
      <c r="B873" t="s">
        <v>121</v>
      </c>
      <c r="C873">
        <v>93</v>
      </c>
      <c r="D873" t="s">
        <v>18</v>
      </c>
      <c r="E873" s="1">
        <v>45469</v>
      </c>
      <c r="J873">
        <v>27</v>
      </c>
      <c r="K873">
        <v>47</v>
      </c>
    </row>
    <row r="874" spans="1:11" x14ac:dyDescent="0.3">
      <c r="A874" t="s">
        <v>1396</v>
      </c>
      <c r="B874" t="s">
        <v>1397</v>
      </c>
      <c r="C874">
        <v>99</v>
      </c>
      <c r="D874" t="s">
        <v>28</v>
      </c>
      <c r="E874" s="1">
        <v>45632</v>
      </c>
      <c r="J874">
        <v>56</v>
      </c>
      <c r="K874">
        <v>60</v>
      </c>
    </row>
    <row r="875" spans="1:11" x14ac:dyDescent="0.3">
      <c r="A875" t="s">
        <v>1290</v>
      </c>
      <c r="B875" t="s">
        <v>1291</v>
      </c>
      <c r="C875">
        <v>100</v>
      </c>
      <c r="D875" t="s">
        <v>28</v>
      </c>
      <c r="E875" s="1">
        <v>45527</v>
      </c>
      <c r="G875">
        <v>1200</v>
      </c>
      <c r="I875">
        <v>17</v>
      </c>
      <c r="J875">
        <v>55</v>
      </c>
      <c r="K875">
        <v>67</v>
      </c>
    </row>
    <row r="876" spans="1:11" x14ac:dyDescent="0.3">
      <c r="A876" t="s">
        <v>1986</v>
      </c>
      <c r="B876" t="s">
        <v>1987</v>
      </c>
      <c r="C876">
        <v>100</v>
      </c>
      <c r="D876" t="s">
        <v>15</v>
      </c>
      <c r="E876" s="1">
        <v>45548</v>
      </c>
      <c r="J876">
        <v>34</v>
      </c>
      <c r="K876">
        <v>14</v>
      </c>
    </row>
    <row r="877" spans="1:11" x14ac:dyDescent="0.3">
      <c r="A877" t="s">
        <v>1486</v>
      </c>
      <c r="B877" t="s">
        <v>1487</v>
      </c>
      <c r="C877">
        <v>103</v>
      </c>
      <c r="D877" t="s">
        <v>28</v>
      </c>
      <c r="E877" s="1">
        <v>45716</v>
      </c>
      <c r="G877">
        <v>1700</v>
      </c>
      <c r="J877">
        <v>47</v>
      </c>
      <c r="K877">
        <v>55</v>
      </c>
    </row>
    <row r="878" spans="1:11" x14ac:dyDescent="0.3">
      <c r="A878" t="s">
        <v>1716</v>
      </c>
      <c r="B878" t="s">
        <v>1717</v>
      </c>
      <c r="C878">
        <v>104</v>
      </c>
      <c r="D878" t="s">
        <v>28</v>
      </c>
      <c r="E878" s="1">
        <v>45730</v>
      </c>
      <c r="J878">
        <v>42</v>
      </c>
      <c r="K878">
        <v>39</v>
      </c>
    </row>
    <row r="879" spans="1:11" x14ac:dyDescent="0.3">
      <c r="A879" t="s">
        <v>1958</v>
      </c>
      <c r="B879" t="s">
        <v>1959</v>
      </c>
      <c r="C879">
        <v>104</v>
      </c>
      <c r="D879" t="s">
        <v>28</v>
      </c>
      <c r="E879" s="1">
        <v>44799</v>
      </c>
      <c r="J879">
        <v>39</v>
      </c>
      <c r="K879">
        <v>20</v>
      </c>
    </row>
    <row r="880" spans="1:11" x14ac:dyDescent="0.3">
      <c r="A880" t="s">
        <v>1706</v>
      </c>
      <c r="B880" t="s">
        <v>1707</v>
      </c>
      <c r="C880">
        <v>111</v>
      </c>
      <c r="D880" t="s">
        <v>15</v>
      </c>
      <c r="E880" s="1">
        <v>45471</v>
      </c>
      <c r="J880">
        <v>43</v>
      </c>
      <c r="K880">
        <v>40</v>
      </c>
    </row>
    <row r="881" spans="1:11" x14ac:dyDescent="0.3">
      <c r="A881" t="s">
        <v>1587</v>
      </c>
      <c r="B881" t="s">
        <v>1588</v>
      </c>
      <c r="C881">
        <v>118</v>
      </c>
      <c r="D881" t="s">
        <v>28</v>
      </c>
      <c r="E881" s="1">
        <v>45205</v>
      </c>
      <c r="J881">
        <v>48</v>
      </c>
      <c r="K881">
        <v>47</v>
      </c>
    </row>
    <row r="882" spans="1:11" x14ac:dyDescent="0.3">
      <c r="A882" t="s">
        <v>1282</v>
      </c>
      <c r="B882" t="s">
        <v>1283</v>
      </c>
      <c r="C882">
        <v>117</v>
      </c>
      <c r="D882" t="s">
        <v>28</v>
      </c>
      <c r="E882" s="1">
        <v>44806</v>
      </c>
      <c r="J882">
        <v>59</v>
      </c>
      <c r="K882">
        <v>68</v>
      </c>
    </row>
    <row r="883" spans="1:11" x14ac:dyDescent="0.3">
      <c r="A883" t="s">
        <v>1910</v>
      </c>
      <c r="B883" t="s">
        <v>1911</v>
      </c>
      <c r="C883">
        <v>109</v>
      </c>
      <c r="D883" t="s">
        <v>28</v>
      </c>
      <c r="E883" s="1">
        <v>44972</v>
      </c>
      <c r="J883">
        <v>41</v>
      </c>
      <c r="K883">
        <v>25</v>
      </c>
    </row>
    <row r="884" spans="1:11" x14ac:dyDescent="0.3">
      <c r="A884" t="s">
        <v>844</v>
      </c>
      <c r="B884" t="s">
        <v>845</v>
      </c>
      <c r="C884">
        <v>132</v>
      </c>
      <c r="D884" t="s">
        <v>25</v>
      </c>
      <c r="E884" s="1">
        <v>45001</v>
      </c>
      <c r="G884">
        <v>905</v>
      </c>
      <c r="I884">
        <v>31</v>
      </c>
      <c r="J884">
        <v>67</v>
      </c>
      <c r="K884">
        <v>84</v>
      </c>
    </row>
    <row r="885" spans="1:11" x14ac:dyDescent="0.3">
      <c r="A885" t="s">
        <v>1022</v>
      </c>
      <c r="B885" t="s">
        <v>1023</v>
      </c>
      <c r="C885">
        <v>107</v>
      </c>
      <c r="D885" t="s">
        <v>28</v>
      </c>
      <c r="E885" s="1">
        <v>45317</v>
      </c>
      <c r="I885">
        <v>57</v>
      </c>
      <c r="J885">
        <v>66</v>
      </c>
      <c r="K885">
        <v>78</v>
      </c>
    </row>
    <row r="886" spans="1:11" x14ac:dyDescent="0.3">
      <c r="A886" t="s">
        <v>1238</v>
      </c>
      <c r="B886" t="s">
        <v>1239</v>
      </c>
      <c r="C886">
        <v>87</v>
      </c>
      <c r="D886" t="s">
        <v>28</v>
      </c>
      <c r="E886" s="1">
        <v>45566</v>
      </c>
      <c r="J886">
        <v>52</v>
      </c>
      <c r="K886">
        <v>70</v>
      </c>
    </row>
    <row r="887" spans="1:11" x14ac:dyDescent="0.3">
      <c r="A887" t="s">
        <v>1044</v>
      </c>
      <c r="B887" t="s">
        <v>1045</v>
      </c>
      <c r="C887">
        <v>103</v>
      </c>
      <c r="D887" t="s">
        <v>28</v>
      </c>
      <c r="E887" s="1">
        <v>45191</v>
      </c>
      <c r="J887">
        <v>62</v>
      </c>
      <c r="K887">
        <v>77</v>
      </c>
    </row>
    <row r="888" spans="1:11" x14ac:dyDescent="0.3">
      <c r="A888" t="s">
        <v>789</v>
      </c>
      <c r="B888" t="s">
        <v>790</v>
      </c>
      <c r="C888">
        <v>88</v>
      </c>
      <c r="D888" t="s">
        <v>28</v>
      </c>
      <c r="E888" s="1">
        <v>45331</v>
      </c>
      <c r="J888">
        <v>68</v>
      </c>
      <c r="K888">
        <v>85</v>
      </c>
    </row>
    <row r="889" spans="1:11" x14ac:dyDescent="0.3">
      <c r="A889" t="s">
        <v>1918</v>
      </c>
      <c r="B889" t="s">
        <v>1919</v>
      </c>
      <c r="C889">
        <v>94</v>
      </c>
      <c r="D889" t="s">
        <v>28</v>
      </c>
      <c r="E889" s="1">
        <v>45471</v>
      </c>
      <c r="J889">
        <v>44</v>
      </c>
      <c r="K889">
        <v>24</v>
      </c>
    </row>
    <row r="890" spans="1:11" x14ac:dyDescent="0.3">
      <c r="A890" t="s">
        <v>1410</v>
      </c>
      <c r="B890" t="s">
        <v>1411</v>
      </c>
      <c r="C890">
        <v>94</v>
      </c>
      <c r="D890" t="s">
        <v>28</v>
      </c>
      <c r="E890" s="1">
        <v>45730</v>
      </c>
      <c r="J890">
        <v>63</v>
      </c>
      <c r="K890">
        <v>59</v>
      </c>
    </row>
    <row r="891" spans="1:11" x14ac:dyDescent="0.3">
      <c r="A891" t="s">
        <v>1718</v>
      </c>
      <c r="B891" t="s">
        <v>1719</v>
      </c>
      <c r="C891">
        <v>89</v>
      </c>
      <c r="D891" t="s">
        <v>18</v>
      </c>
      <c r="E891" s="1">
        <v>45670</v>
      </c>
      <c r="G891">
        <v>1200</v>
      </c>
      <c r="J891">
        <v>50</v>
      </c>
      <c r="K891">
        <v>39</v>
      </c>
    </row>
    <row r="892" spans="1:11" x14ac:dyDescent="0.3">
      <c r="A892" t="s">
        <v>1482</v>
      </c>
      <c r="B892" t="s">
        <v>1483</v>
      </c>
      <c r="C892">
        <v>97</v>
      </c>
      <c r="D892" t="s">
        <v>28</v>
      </c>
      <c r="E892" s="1">
        <v>44645</v>
      </c>
      <c r="J892">
        <v>56</v>
      </c>
      <c r="K892">
        <v>56</v>
      </c>
    </row>
    <row r="893" spans="1:11" x14ac:dyDescent="0.3">
      <c r="A893" t="s">
        <v>998</v>
      </c>
      <c r="B893" t="s">
        <v>999</v>
      </c>
      <c r="C893">
        <v>102</v>
      </c>
      <c r="D893" t="s">
        <v>28</v>
      </c>
      <c r="E893" s="1">
        <v>45513</v>
      </c>
      <c r="J893">
        <v>62</v>
      </c>
      <c r="K893">
        <v>79</v>
      </c>
    </row>
    <row r="894" spans="1:11" x14ac:dyDescent="0.3">
      <c r="A894" t="s">
        <v>104</v>
      </c>
      <c r="B894" t="s">
        <v>105</v>
      </c>
      <c r="C894">
        <v>105</v>
      </c>
      <c r="D894" t="s">
        <v>28</v>
      </c>
      <c r="E894" s="1">
        <v>45181</v>
      </c>
      <c r="J894">
        <v>53</v>
      </c>
      <c r="K894">
        <v>62</v>
      </c>
    </row>
    <row r="895" spans="1:11" x14ac:dyDescent="0.3">
      <c r="A895" t="s">
        <v>1704</v>
      </c>
      <c r="B895" t="s">
        <v>1705</v>
      </c>
      <c r="C895">
        <v>97</v>
      </c>
      <c r="D895" t="s">
        <v>28</v>
      </c>
      <c r="E895" s="1">
        <v>45499</v>
      </c>
      <c r="J895">
        <v>43</v>
      </c>
      <c r="K895">
        <v>40</v>
      </c>
    </row>
    <row r="896" spans="1:11" x14ac:dyDescent="0.3">
      <c r="A896" t="s">
        <v>1062</v>
      </c>
      <c r="B896" t="s">
        <v>1063</v>
      </c>
      <c r="C896">
        <v>114</v>
      </c>
      <c r="D896" t="s">
        <v>28</v>
      </c>
      <c r="E896" s="1">
        <v>45651</v>
      </c>
      <c r="J896">
        <v>79</v>
      </c>
      <c r="K896">
        <v>76</v>
      </c>
    </row>
    <row r="897" spans="1:11" x14ac:dyDescent="0.3">
      <c r="A897" t="s">
        <v>1952</v>
      </c>
      <c r="B897" t="s">
        <v>1953</v>
      </c>
      <c r="C897">
        <v>106</v>
      </c>
      <c r="D897" t="s">
        <v>63</v>
      </c>
      <c r="E897" s="1">
        <v>45464</v>
      </c>
      <c r="J897">
        <v>36</v>
      </c>
      <c r="K897">
        <v>20</v>
      </c>
    </row>
    <row r="898" spans="1:11" x14ac:dyDescent="0.3">
      <c r="A898" t="s">
        <v>1212</v>
      </c>
      <c r="B898" t="s">
        <v>1213</v>
      </c>
      <c r="C898">
        <v>88</v>
      </c>
      <c r="D898" t="s">
        <v>28</v>
      </c>
      <c r="E898" s="1">
        <v>45401</v>
      </c>
      <c r="J898">
        <v>66</v>
      </c>
      <c r="K898">
        <v>71</v>
      </c>
    </row>
    <row r="899" spans="1:11" x14ac:dyDescent="0.3">
      <c r="A899" t="s">
        <v>1346</v>
      </c>
      <c r="B899" t="s">
        <v>1347</v>
      </c>
      <c r="C899">
        <v>99</v>
      </c>
      <c r="D899" t="s">
        <v>15</v>
      </c>
      <c r="E899" s="1">
        <v>45191</v>
      </c>
      <c r="J899">
        <v>50</v>
      </c>
      <c r="K899">
        <v>64</v>
      </c>
    </row>
    <row r="900" spans="1:11" x14ac:dyDescent="0.3">
      <c r="A900" t="s">
        <v>918</v>
      </c>
      <c r="B900" t="s">
        <v>919</v>
      </c>
      <c r="C900">
        <v>96</v>
      </c>
      <c r="D900" t="s">
        <v>28</v>
      </c>
      <c r="E900" s="1">
        <v>44971</v>
      </c>
      <c r="J900">
        <v>53</v>
      </c>
      <c r="K900">
        <v>82</v>
      </c>
    </row>
    <row r="901" spans="1:11" x14ac:dyDescent="0.3">
      <c r="A901" t="s">
        <v>1892</v>
      </c>
      <c r="B901" t="s">
        <v>1893</v>
      </c>
      <c r="C901">
        <v>91</v>
      </c>
      <c r="D901" t="s">
        <v>90</v>
      </c>
      <c r="E901" s="1">
        <v>45595</v>
      </c>
      <c r="J901">
        <v>36</v>
      </c>
      <c r="K901">
        <v>26</v>
      </c>
    </row>
    <row r="902" spans="1:11" x14ac:dyDescent="0.3">
      <c r="A902" t="s">
        <v>1964</v>
      </c>
      <c r="B902" t="s">
        <v>1965</v>
      </c>
      <c r="C902">
        <v>83</v>
      </c>
      <c r="D902" t="s">
        <v>28</v>
      </c>
      <c r="E902" s="1">
        <v>45695</v>
      </c>
      <c r="J902">
        <v>34</v>
      </c>
      <c r="K902">
        <v>18</v>
      </c>
    </row>
    <row r="903" spans="1:11" x14ac:dyDescent="0.3">
      <c r="A903" t="s">
        <v>1946</v>
      </c>
      <c r="B903" t="s">
        <v>1947</v>
      </c>
      <c r="C903">
        <v>91</v>
      </c>
      <c r="D903" t="s">
        <v>28</v>
      </c>
      <c r="E903" s="1">
        <v>45429</v>
      </c>
      <c r="J903">
        <v>43</v>
      </c>
      <c r="K903">
        <v>21</v>
      </c>
    </row>
    <row r="904" spans="1:11" x14ac:dyDescent="0.3">
      <c r="A904" t="s">
        <v>1968</v>
      </c>
      <c r="B904" t="s">
        <v>1969</v>
      </c>
      <c r="C904">
        <v>120</v>
      </c>
      <c r="D904" t="s">
        <v>28</v>
      </c>
      <c r="E904" s="1">
        <v>45345</v>
      </c>
      <c r="J904">
        <v>33</v>
      </c>
      <c r="K904">
        <v>18</v>
      </c>
    </row>
    <row r="905" spans="1:11" x14ac:dyDescent="0.3">
      <c r="A905" t="s">
        <v>1998</v>
      </c>
      <c r="B905" t="s">
        <v>1999</v>
      </c>
      <c r="C905">
        <v>101</v>
      </c>
      <c r="D905" t="s">
        <v>15</v>
      </c>
      <c r="E905" s="1">
        <v>45513</v>
      </c>
      <c r="J905">
        <v>26</v>
      </c>
      <c r="K905">
        <v>10</v>
      </c>
    </row>
    <row r="906" spans="1:11" x14ac:dyDescent="0.3">
      <c r="A906" t="s">
        <v>1420</v>
      </c>
      <c r="B906" t="s">
        <v>1421</v>
      </c>
      <c r="C906">
        <v>87</v>
      </c>
      <c r="D906" t="s">
        <v>28</v>
      </c>
      <c r="E906" s="1">
        <v>45044</v>
      </c>
      <c r="G906">
        <v>750</v>
      </c>
      <c r="I906">
        <v>25</v>
      </c>
      <c r="J906">
        <v>43</v>
      </c>
      <c r="K906">
        <v>59</v>
      </c>
    </row>
    <row r="907" spans="1:11" x14ac:dyDescent="0.3">
      <c r="A907" t="s">
        <v>1414</v>
      </c>
      <c r="B907" t="s">
        <v>1415</v>
      </c>
      <c r="C907">
        <v>103</v>
      </c>
      <c r="D907" t="s">
        <v>18</v>
      </c>
      <c r="E907" s="1">
        <v>45485</v>
      </c>
      <c r="G907">
        <v>1300</v>
      </c>
      <c r="I907">
        <v>30</v>
      </c>
      <c r="J907">
        <v>55</v>
      </c>
      <c r="K907">
        <v>59</v>
      </c>
    </row>
    <row r="908" spans="1:11" x14ac:dyDescent="0.3">
      <c r="A908" t="s">
        <v>1908</v>
      </c>
      <c r="B908" t="s">
        <v>1909</v>
      </c>
      <c r="C908">
        <v>117</v>
      </c>
      <c r="D908" t="s">
        <v>28</v>
      </c>
      <c r="E908" s="1">
        <v>45156</v>
      </c>
      <c r="G908">
        <v>773</v>
      </c>
      <c r="I908">
        <v>34</v>
      </c>
      <c r="J908">
        <v>48</v>
      </c>
      <c r="K908">
        <v>25</v>
      </c>
    </row>
    <row r="909" spans="1:11" x14ac:dyDescent="0.3">
      <c r="A909" t="s">
        <v>1859</v>
      </c>
      <c r="B909" t="s">
        <v>1860</v>
      </c>
      <c r="C909">
        <v>100</v>
      </c>
      <c r="D909" t="s">
        <v>28</v>
      </c>
      <c r="E909" s="1">
        <v>44834</v>
      </c>
      <c r="J909">
        <v>47</v>
      </c>
      <c r="K909">
        <v>29</v>
      </c>
    </row>
    <row r="910" spans="1:11" x14ac:dyDescent="0.3">
      <c r="A910" t="s">
        <v>53</v>
      </c>
      <c r="B910" t="s">
        <v>54</v>
      </c>
      <c r="C910">
        <v>102</v>
      </c>
      <c r="D910" t="s">
        <v>28</v>
      </c>
      <c r="E910" s="1">
        <v>44820</v>
      </c>
      <c r="J910">
        <v>77</v>
      </c>
      <c r="K910">
        <v>88</v>
      </c>
    </row>
    <row r="911" spans="1:11" x14ac:dyDescent="0.3">
      <c r="A911" t="s">
        <v>68</v>
      </c>
      <c r="B911" t="s">
        <v>69</v>
      </c>
      <c r="C911">
        <v>116</v>
      </c>
      <c r="D911" t="s">
        <v>25</v>
      </c>
      <c r="E911" s="1">
        <v>44804</v>
      </c>
      <c r="J911">
        <v>73</v>
      </c>
      <c r="K911">
        <v>84</v>
      </c>
    </row>
    <row r="912" spans="1:11" x14ac:dyDescent="0.3">
      <c r="A912" t="s">
        <v>1857</v>
      </c>
      <c r="B912" t="s">
        <v>1858</v>
      </c>
      <c r="C912">
        <v>100</v>
      </c>
      <c r="D912" t="s">
        <v>28</v>
      </c>
      <c r="E912" s="1">
        <v>44939</v>
      </c>
      <c r="J912">
        <v>41</v>
      </c>
      <c r="K912">
        <v>29</v>
      </c>
    </row>
    <row r="913" spans="1:11" x14ac:dyDescent="0.3">
      <c r="A913" t="s">
        <v>1680</v>
      </c>
      <c r="B913" t="s">
        <v>1681</v>
      </c>
      <c r="C913">
        <v>91</v>
      </c>
      <c r="D913" t="s">
        <v>28</v>
      </c>
      <c r="E913" s="1">
        <v>44967</v>
      </c>
      <c r="J913">
        <v>40</v>
      </c>
      <c r="K913">
        <v>42</v>
      </c>
    </row>
    <row r="914" spans="1:11" x14ac:dyDescent="0.3">
      <c r="A914" t="s">
        <v>1890</v>
      </c>
      <c r="B914" t="s">
        <v>1891</v>
      </c>
      <c r="C914">
        <v>94</v>
      </c>
      <c r="D914" t="s">
        <v>28</v>
      </c>
      <c r="E914" s="1">
        <v>45709</v>
      </c>
      <c r="J914">
        <v>33</v>
      </c>
      <c r="K914">
        <v>26</v>
      </c>
    </row>
    <row r="915" spans="1:11" x14ac:dyDescent="0.3">
      <c r="A915" t="s">
        <v>1382</v>
      </c>
      <c r="B915" t="s">
        <v>1383</v>
      </c>
      <c r="C915">
        <v>104</v>
      </c>
      <c r="D915" t="s">
        <v>28</v>
      </c>
      <c r="E915" s="1">
        <v>44862</v>
      </c>
      <c r="J915">
        <v>51</v>
      </c>
      <c r="K915">
        <v>62</v>
      </c>
    </row>
    <row r="916" spans="1:11" x14ac:dyDescent="0.3">
      <c r="A916" t="s">
        <v>846</v>
      </c>
      <c r="B916" t="s">
        <v>847</v>
      </c>
      <c r="C916">
        <v>89</v>
      </c>
      <c r="D916" t="s">
        <v>28</v>
      </c>
      <c r="E916" s="1">
        <v>44946</v>
      </c>
      <c r="J916">
        <v>65</v>
      </c>
      <c r="K916">
        <v>84</v>
      </c>
    </row>
    <row r="917" spans="1:11" x14ac:dyDescent="0.3">
      <c r="A917" t="s">
        <v>1864</v>
      </c>
      <c r="B917" t="s">
        <v>1865</v>
      </c>
      <c r="C917">
        <v>97</v>
      </c>
      <c r="D917" t="s">
        <v>28</v>
      </c>
      <c r="E917" s="1">
        <v>45693</v>
      </c>
      <c r="J917">
        <v>38</v>
      </c>
      <c r="K917">
        <v>28</v>
      </c>
    </row>
    <row r="918" spans="1:11" x14ac:dyDescent="0.3">
      <c r="A918" t="s">
        <v>2014</v>
      </c>
      <c r="B918" t="s">
        <v>2015</v>
      </c>
      <c r="C918">
        <v>95</v>
      </c>
      <c r="D918" t="s">
        <v>28</v>
      </c>
      <c r="E918" s="1">
        <v>45673</v>
      </c>
      <c r="J918">
        <v>23</v>
      </c>
      <c r="K918">
        <v>0</v>
      </c>
    </row>
    <row r="919" spans="1:11" x14ac:dyDescent="0.3">
      <c r="A919" t="s">
        <v>2006</v>
      </c>
      <c r="B919" t="s">
        <v>2007</v>
      </c>
      <c r="C919">
        <v>94</v>
      </c>
      <c r="D919" t="s">
        <v>18</v>
      </c>
      <c r="E919" s="1">
        <v>44887</v>
      </c>
      <c r="J919">
        <v>43</v>
      </c>
      <c r="K919">
        <v>9</v>
      </c>
    </row>
    <row r="920" spans="1:11" x14ac:dyDescent="0.3">
      <c r="A920" t="s">
        <v>1000</v>
      </c>
      <c r="B920" t="s">
        <v>1001</v>
      </c>
      <c r="C920">
        <v>94</v>
      </c>
      <c r="D920" t="s">
        <v>18</v>
      </c>
      <c r="E920" s="1">
        <v>45471</v>
      </c>
      <c r="J920">
        <v>68</v>
      </c>
      <c r="K920">
        <v>79</v>
      </c>
    </row>
    <row r="921" spans="1:11" x14ac:dyDescent="0.3">
      <c r="A921" t="s">
        <v>1728</v>
      </c>
      <c r="B921" t="s">
        <v>1729</v>
      </c>
      <c r="C921">
        <v>117</v>
      </c>
      <c r="D921" t="s">
        <v>28</v>
      </c>
      <c r="E921" s="1">
        <v>44953</v>
      </c>
      <c r="J921">
        <v>50</v>
      </c>
      <c r="K921">
        <v>39</v>
      </c>
    </row>
    <row r="922" spans="1:11" x14ac:dyDescent="0.3">
      <c r="A922" t="s">
        <v>1500</v>
      </c>
      <c r="B922" t="s">
        <v>1501</v>
      </c>
      <c r="C922">
        <v>109</v>
      </c>
      <c r="D922" t="s">
        <v>12</v>
      </c>
      <c r="E922" s="1">
        <v>44831</v>
      </c>
      <c r="J922">
        <v>57</v>
      </c>
      <c r="K922">
        <v>55</v>
      </c>
    </row>
    <row r="923" spans="1:11" x14ac:dyDescent="0.3">
      <c r="A923" t="s">
        <v>834</v>
      </c>
      <c r="B923" t="s">
        <v>835</v>
      </c>
      <c r="C923">
        <v>106</v>
      </c>
      <c r="D923" t="s">
        <v>28</v>
      </c>
      <c r="E923" s="1">
        <v>45275</v>
      </c>
      <c r="G923">
        <v>1600</v>
      </c>
      <c r="I923">
        <v>48</v>
      </c>
      <c r="J923">
        <v>75</v>
      </c>
      <c r="K923">
        <v>84</v>
      </c>
    </row>
    <row r="924" spans="1:11" x14ac:dyDescent="0.3">
      <c r="A924" t="s">
        <v>1348</v>
      </c>
      <c r="B924" t="s">
        <v>1349</v>
      </c>
      <c r="C924">
        <v>136</v>
      </c>
      <c r="D924" t="s">
        <v>28</v>
      </c>
      <c r="E924" s="1">
        <v>44925</v>
      </c>
      <c r="J924">
        <v>66</v>
      </c>
      <c r="K924">
        <v>64</v>
      </c>
    </row>
    <row r="925" spans="1:11" x14ac:dyDescent="0.3">
      <c r="A925" t="s">
        <v>1768</v>
      </c>
      <c r="B925" t="s">
        <v>1769</v>
      </c>
      <c r="C925">
        <v>99</v>
      </c>
      <c r="D925" t="s">
        <v>63</v>
      </c>
      <c r="E925" s="1">
        <v>45569</v>
      </c>
      <c r="J925">
        <v>45</v>
      </c>
      <c r="K925">
        <v>35</v>
      </c>
    </row>
    <row r="926" spans="1:11" x14ac:dyDescent="0.3">
      <c r="A926" t="s">
        <v>1643</v>
      </c>
      <c r="B926" t="s">
        <v>1644</v>
      </c>
      <c r="C926">
        <v>90</v>
      </c>
      <c r="D926" t="s">
        <v>28</v>
      </c>
      <c r="E926" s="1">
        <v>44621</v>
      </c>
      <c r="J926">
        <v>52</v>
      </c>
      <c r="K926">
        <v>44</v>
      </c>
    </row>
    <row r="927" spans="1:11" x14ac:dyDescent="0.3">
      <c r="A927" t="s">
        <v>1581</v>
      </c>
      <c r="B927" t="s">
        <v>1582</v>
      </c>
      <c r="C927">
        <v>112</v>
      </c>
      <c r="D927" t="s">
        <v>28</v>
      </c>
      <c r="E927" s="1">
        <v>45308</v>
      </c>
      <c r="J927">
        <v>47</v>
      </c>
      <c r="K927">
        <v>47</v>
      </c>
    </row>
    <row r="928" spans="1:11" x14ac:dyDescent="0.3">
      <c r="A928" t="s">
        <v>1340</v>
      </c>
      <c r="B928" t="s">
        <v>1341</v>
      </c>
      <c r="C928">
        <v>84</v>
      </c>
      <c r="D928" t="s">
        <v>28</v>
      </c>
      <c r="E928" s="1">
        <v>45345</v>
      </c>
      <c r="J928">
        <v>56</v>
      </c>
      <c r="K928">
        <v>64</v>
      </c>
    </row>
    <row r="929" spans="1:11" x14ac:dyDescent="0.3">
      <c r="A929" t="s">
        <v>1962</v>
      </c>
      <c r="B929" t="s">
        <v>1963</v>
      </c>
      <c r="C929">
        <v>98</v>
      </c>
      <c r="D929" t="s">
        <v>15</v>
      </c>
      <c r="E929" s="1">
        <v>45296</v>
      </c>
      <c r="J929">
        <v>43</v>
      </c>
      <c r="K929">
        <v>19</v>
      </c>
    </row>
    <row r="930" spans="1:11" x14ac:dyDescent="0.3">
      <c r="A930" t="s">
        <v>828</v>
      </c>
      <c r="B930" t="s">
        <v>829</v>
      </c>
      <c r="C930">
        <v>111</v>
      </c>
      <c r="D930" t="s">
        <v>28</v>
      </c>
      <c r="E930" s="1">
        <v>45527</v>
      </c>
      <c r="I930">
        <v>52</v>
      </c>
      <c r="J930">
        <v>83</v>
      </c>
      <c r="K930">
        <v>84</v>
      </c>
    </row>
    <row r="931" spans="1:11" x14ac:dyDescent="0.3">
      <c r="A931" t="s">
        <v>1336</v>
      </c>
      <c r="B931" t="s">
        <v>1337</v>
      </c>
      <c r="C931">
        <v>86</v>
      </c>
      <c r="D931" t="s">
        <v>28</v>
      </c>
      <c r="E931" s="1">
        <v>45540</v>
      </c>
      <c r="G931">
        <v>1400</v>
      </c>
      <c r="I931">
        <v>54</v>
      </c>
      <c r="J931">
        <v>68</v>
      </c>
      <c r="K931">
        <v>64</v>
      </c>
    </row>
    <row r="932" spans="1:11" x14ac:dyDescent="0.3">
      <c r="A932" t="s">
        <v>808</v>
      </c>
      <c r="B932" t="s">
        <v>809</v>
      </c>
      <c r="C932">
        <v>111</v>
      </c>
      <c r="D932" t="s">
        <v>18</v>
      </c>
      <c r="E932" s="1">
        <v>44834</v>
      </c>
      <c r="J932">
        <v>79</v>
      </c>
      <c r="K932">
        <v>85</v>
      </c>
    </row>
    <row r="933" spans="1:11" x14ac:dyDescent="0.3">
      <c r="A933" t="s">
        <v>1428</v>
      </c>
      <c r="B933" t="s">
        <v>1429</v>
      </c>
      <c r="C933">
        <v>92</v>
      </c>
      <c r="D933" t="s">
        <v>28</v>
      </c>
      <c r="E933" s="1">
        <v>44638</v>
      </c>
      <c r="J933">
        <v>52</v>
      </c>
      <c r="K933">
        <v>59</v>
      </c>
    </row>
    <row r="934" spans="1:11" x14ac:dyDescent="0.3">
      <c r="A934" t="s">
        <v>2004</v>
      </c>
      <c r="B934" t="s">
        <v>2005</v>
      </c>
      <c r="C934">
        <v>94</v>
      </c>
      <c r="D934" t="s">
        <v>28</v>
      </c>
      <c r="E934" s="1">
        <v>44694</v>
      </c>
      <c r="J934">
        <v>32</v>
      </c>
      <c r="K934">
        <v>10</v>
      </c>
    </row>
    <row r="935" spans="1:11" x14ac:dyDescent="0.3">
      <c r="A935" t="s">
        <v>1990</v>
      </c>
      <c r="B935" t="s">
        <v>1991</v>
      </c>
      <c r="C935">
        <v>92</v>
      </c>
      <c r="D935" t="s">
        <v>28</v>
      </c>
      <c r="E935" s="1">
        <v>44876</v>
      </c>
      <c r="J935">
        <v>31</v>
      </c>
      <c r="K935">
        <v>14</v>
      </c>
    </row>
    <row r="936" spans="1:11" x14ac:dyDescent="0.3">
      <c r="A936" t="s">
        <v>45</v>
      </c>
      <c r="B936" t="s">
        <v>46</v>
      </c>
      <c r="C936">
        <v>86</v>
      </c>
      <c r="D936" t="s">
        <v>18</v>
      </c>
      <c r="E936" s="1">
        <v>44673</v>
      </c>
      <c r="J936">
        <v>78</v>
      </c>
      <c r="K936">
        <v>91</v>
      </c>
    </row>
    <row r="937" spans="1:11" x14ac:dyDescent="0.3">
      <c r="A937" t="s">
        <v>1174</v>
      </c>
      <c r="B937" t="s">
        <v>1175</v>
      </c>
      <c r="C937">
        <v>93</v>
      </c>
      <c r="D937" t="s">
        <v>28</v>
      </c>
      <c r="E937" s="1">
        <v>45499</v>
      </c>
      <c r="J937">
        <v>59</v>
      </c>
      <c r="K937">
        <v>72</v>
      </c>
    </row>
    <row r="938" spans="1:11" x14ac:dyDescent="0.3">
      <c r="A938" t="s">
        <v>1360</v>
      </c>
      <c r="B938" t="s">
        <v>1361</v>
      </c>
      <c r="C938">
        <v>106</v>
      </c>
      <c r="D938" t="s">
        <v>12</v>
      </c>
      <c r="E938" s="1">
        <v>45044</v>
      </c>
      <c r="J938">
        <v>61</v>
      </c>
      <c r="K938">
        <v>63</v>
      </c>
    </row>
    <row r="939" spans="1:11" x14ac:dyDescent="0.3">
      <c r="A939" t="s">
        <v>1833</v>
      </c>
      <c r="B939" t="s">
        <v>1834</v>
      </c>
      <c r="C939">
        <v>95</v>
      </c>
      <c r="D939" t="s">
        <v>15</v>
      </c>
      <c r="E939" s="1">
        <v>44953</v>
      </c>
      <c r="J939">
        <v>42</v>
      </c>
      <c r="K939">
        <v>31</v>
      </c>
    </row>
    <row r="940" spans="1:11" x14ac:dyDescent="0.3">
      <c r="A940" t="s">
        <v>852</v>
      </c>
      <c r="B940" t="s">
        <v>853</v>
      </c>
      <c r="C940">
        <v>94</v>
      </c>
      <c r="D940" t="s">
        <v>25</v>
      </c>
      <c r="E940" s="1">
        <v>45702</v>
      </c>
      <c r="G940">
        <v>843</v>
      </c>
      <c r="I940">
        <v>18</v>
      </c>
      <c r="J940">
        <v>53</v>
      </c>
      <c r="K940">
        <v>83</v>
      </c>
    </row>
    <row r="941" spans="1:11" x14ac:dyDescent="0.3">
      <c r="A941" t="s">
        <v>1692</v>
      </c>
      <c r="B941" t="s">
        <v>1693</v>
      </c>
      <c r="C941">
        <v>85</v>
      </c>
      <c r="D941" t="s">
        <v>28</v>
      </c>
      <c r="E941" s="1">
        <v>45394</v>
      </c>
      <c r="G941">
        <v>628</v>
      </c>
      <c r="I941">
        <v>20</v>
      </c>
      <c r="J941">
        <v>55</v>
      </c>
      <c r="K941">
        <v>41</v>
      </c>
    </row>
    <row r="942" spans="1:11" x14ac:dyDescent="0.3">
      <c r="A942" t="s">
        <v>1320</v>
      </c>
      <c r="B942" t="s">
        <v>1321</v>
      </c>
      <c r="C942">
        <v>130</v>
      </c>
      <c r="D942" t="s">
        <v>15</v>
      </c>
      <c r="E942" s="1">
        <v>45184</v>
      </c>
      <c r="I942">
        <v>35</v>
      </c>
      <c r="J942">
        <v>54</v>
      </c>
      <c r="K942">
        <v>66</v>
      </c>
    </row>
    <row r="943" spans="1:11" x14ac:dyDescent="0.3">
      <c r="A943" t="s">
        <v>140</v>
      </c>
      <c r="B943" t="s">
        <v>141</v>
      </c>
      <c r="C943">
        <v>94</v>
      </c>
      <c r="D943" t="s">
        <v>15</v>
      </c>
      <c r="E943" s="1">
        <v>44785</v>
      </c>
      <c r="J943">
        <v>49</v>
      </c>
      <c r="K943">
        <v>24</v>
      </c>
    </row>
    <row r="944" spans="1:11" x14ac:dyDescent="0.3">
      <c r="A944" t="s">
        <v>1809</v>
      </c>
      <c r="B944" t="s">
        <v>1810</v>
      </c>
      <c r="C944">
        <v>96</v>
      </c>
      <c r="D944" t="s">
        <v>28</v>
      </c>
      <c r="E944" s="1">
        <v>44889</v>
      </c>
      <c r="J944">
        <v>37</v>
      </c>
      <c r="K944">
        <v>32</v>
      </c>
    </row>
    <row r="945" spans="1:11" x14ac:dyDescent="0.3">
      <c r="A945" t="s">
        <v>1048</v>
      </c>
      <c r="B945" t="s">
        <v>1049</v>
      </c>
      <c r="C945">
        <v>104</v>
      </c>
      <c r="D945" t="s">
        <v>28</v>
      </c>
      <c r="E945" s="1">
        <v>45078</v>
      </c>
      <c r="J945">
        <v>66</v>
      </c>
      <c r="K945">
        <v>77</v>
      </c>
    </row>
    <row r="946" spans="1:11" x14ac:dyDescent="0.3">
      <c r="A946" t="s">
        <v>1829</v>
      </c>
      <c r="B946" t="s">
        <v>1830</v>
      </c>
      <c r="C946">
        <v>96</v>
      </c>
      <c r="D946" t="s">
        <v>15</v>
      </c>
      <c r="E946" s="1">
        <v>45023</v>
      </c>
      <c r="J946">
        <v>45</v>
      </c>
      <c r="K946">
        <v>31</v>
      </c>
    </row>
    <row r="947" spans="1:11" x14ac:dyDescent="0.3">
      <c r="A947" t="s">
        <v>1819</v>
      </c>
      <c r="B947" t="s">
        <v>1820</v>
      </c>
      <c r="C947">
        <v>138</v>
      </c>
      <c r="D947" t="s">
        <v>28</v>
      </c>
      <c r="E947" s="1">
        <v>45569</v>
      </c>
      <c r="J947">
        <v>45</v>
      </c>
      <c r="K947">
        <v>31</v>
      </c>
    </row>
    <row r="948" spans="1:11" x14ac:dyDescent="0.3">
      <c r="A948" t="s">
        <v>396</v>
      </c>
      <c r="B948" t="s">
        <v>397</v>
      </c>
      <c r="C948">
        <v>100</v>
      </c>
      <c r="D948" t="s">
        <v>28</v>
      </c>
      <c r="E948" s="1">
        <v>45352</v>
      </c>
      <c r="G948">
        <v>1500</v>
      </c>
      <c r="I948">
        <v>37</v>
      </c>
      <c r="J948">
        <v>70</v>
      </c>
      <c r="K948">
        <v>94</v>
      </c>
    </row>
    <row r="949" spans="1:11" x14ac:dyDescent="0.3">
      <c r="A949" t="s">
        <v>1028</v>
      </c>
      <c r="B949" t="s">
        <v>1029</v>
      </c>
      <c r="C949">
        <v>86</v>
      </c>
      <c r="D949" t="s">
        <v>18</v>
      </c>
      <c r="E949" s="1">
        <v>44904</v>
      </c>
      <c r="J949">
        <v>46</v>
      </c>
      <c r="K949">
        <v>78</v>
      </c>
    </row>
    <row r="950" spans="1:11" x14ac:dyDescent="0.3">
      <c r="A950" t="s">
        <v>635</v>
      </c>
      <c r="B950" t="s">
        <v>636</v>
      </c>
      <c r="C950">
        <v>91</v>
      </c>
      <c r="D950" t="s">
        <v>28</v>
      </c>
      <c r="E950" s="1">
        <v>45205</v>
      </c>
      <c r="J950">
        <v>77</v>
      </c>
      <c r="K950">
        <v>89</v>
      </c>
    </row>
    <row r="951" spans="1:11" x14ac:dyDescent="0.3">
      <c r="A951" t="s">
        <v>1724</v>
      </c>
      <c r="B951" t="s">
        <v>1725</v>
      </c>
      <c r="C951">
        <v>97</v>
      </c>
      <c r="D951" t="s">
        <v>15</v>
      </c>
      <c r="E951" s="1">
        <v>45415</v>
      </c>
      <c r="J951">
        <v>42</v>
      </c>
      <c r="K951">
        <v>39</v>
      </c>
    </row>
    <row r="952" spans="1:11" x14ac:dyDescent="0.3">
      <c r="A952" t="s">
        <v>1777</v>
      </c>
      <c r="B952" t="s">
        <v>1778</v>
      </c>
      <c r="C952">
        <v>110</v>
      </c>
      <c r="D952" t="s">
        <v>18</v>
      </c>
      <c r="E952" s="1">
        <v>44819</v>
      </c>
      <c r="J952">
        <v>49</v>
      </c>
      <c r="K952">
        <v>35</v>
      </c>
    </row>
    <row r="953" spans="1:11" x14ac:dyDescent="0.3">
      <c r="A953" t="s">
        <v>1817</v>
      </c>
      <c r="B953" t="s">
        <v>1818</v>
      </c>
      <c r="C953">
        <v>83</v>
      </c>
      <c r="D953" t="s">
        <v>15</v>
      </c>
      <c r="E953" s="1">
        <v>44638</v>
      </c>
      <c r="J953">
        <v>51</v>
      </c>
      <c r="K953">
        <v>32</v>
      </c>
    </row>
    <row r="954" spans="1:11" x14ac:dyDescent="0.3">
      <c r="A954" t="s">
        <v>1098</v>
      </c>
      <c r="B954" t="s">
        <v>1099</v>
      </c>
      <c r="C954">
        <v>129</v>
      </c>
      <c r="D954" t="s">
        <v>25</v>
      </c>
      <c r="E954" s="1">
        <v>44715</v>
      </c>
      <c r="G954">
        <v>1200</v>
      </c>
      <c r="J954">
        <v>56</v>
      </c>
      <c r="K954">
        <v>76</v>
      </c>
    </row>
    <row r="955" spans="1:11" x14ac:dyDescent="0.3">
      <c r="A955" t="s">
        <v>2000</v>
      </c>
      <c r="B955" t="s">
        <v>2001</v>
      </c>
      <c r="C955">
        <v>116</v>
      </c>
      <c r="D955" t="s">
        <v>15</v>
      </c>
      <c r="E955" s="1">
        <v>45336</v>
      </c>
      <c r="J955">
        <v>26</v>
      </c>
      <c r="K955">
        <v>10</v>
      </c>
    </row>
    <row r="956" spans="1:11" x14ac:dyDescent="0.3">
      <c r="A956" t="s">
        <v>2008</v>
      </c>
      <c r="B956" t="s">
        <v>2009</v>
      </c>
      <c r="C956">
        <v>95</v>
      </c>
      <c r="D956" t="s">
        <v>15</v>
      </c>
      <c r="E956" s="1">
        <v>45443</v>
      </c>
      <c r="G956">
        <v>1500</v>
      </c>
      <c r="I956">
        <v>43</v>
      </c>
      <c r="J956">
        <v>41</v>
      </c>
      <c r="K956">
        <v>8</v>
      </c>
    </row>
    <row r="957" spans="1:11" x14ac:dyDescent="0.3">
      <c r="A957" t="s">
        <v>86</v>
      </c>
      <c r="B957" t="s">
        <v>87</v>
      </c>
      <c r="C957">
        <v>65</v>
      </c>
      <c r="D957" t="s">
        <v>15</v>
      </c>
      <c r="E957" s="1">
        <v>45338</v>
      </c>
      <c r="J957">
        <v>61</v>
      </c>
      <c r="K957">
        <v>76</v>
      </c>
    </row>
    <row r="958" spans="1:11" x14ac:dyDescent="0.3">
      <c r="A958" t="s">
        <v>1164</v>
      </c>
      <c r="B958" t="s">
        <v>1165</v>
      </c>
      <c r="C958">
        <v>100</v>
      </c>
      <c r="D958" t="s">
        <v>18</v>
      </c>
      <c r="E958" s="1">
        <v>44959</v>
      </c>
      <c r="J958">
        <v>66</v>
      </c>
      <c r="K958">
        <v>73</v>
      </c>
    </row>
    <row r="959" spans="1:11" x14ac:dyDescent="0.3">
      <c r="A959" t="s">
        <v>1460</v>
      </c>
      <c r="B959" t="s">
        <v>1461</v>
      </c>
      <c r="C959">
        <v>148</v>
      </c>
      <c r="D959" t="s">
        <v>28</v>
      </c>
      <c r="E959" s="1">
        <v>45708</v>
      </c>
      <c r="G959">
        <v>1600</v>
      </c>
      <c r="J959">
        <v>66</v>
      </c>
      <c r="K959">
        <v>56</v>
      </c>
    </row>
    <row r="960" spans="1:11" x14ac:dyDescent="0.3">
      <c r="A960" t="s">
        <v>1882</v>
      </c>
      <c r="B960" t="s">
        <v>1883</v>
      </c>
      <c r="C960">
        <v>92</v>
      </c>
      <c r="D960" t="s">
        <v>28</v>
      </c>
      <c r="E960" s="1">
        <v>44936</v>
      </c>
      <c r="J960">
        <v>42</v>
      </c>
      <c r="K960">
        <v>27</v>
      </c>
    </row>
    <row r="961" spans="1:11" x14ac:dyDescent="0.3">
      <c r="A961" t="s">
        <v>82</v>
      </c>
      <c r="B961" t="s">
        <v>83</v>
      </c>
      <c r="C961">
        <v>116</v>
      </c>
      <c r="D961" t="s">
        <v>15</v>
      </c>
      <c r="E961" s="1">
        <v>45673</v>
      </c>
      <c r="J961">
        <v>64</v>
      </c>
      <c r="K961">
        <v>77</v>
      </c>
    </row>
    <row r="962" spans="1:11" x14ac:dyDescent="0.3">
      <c r="A962" t="s">
        <v>1633</v>
      </c>
      <c r="B962" t="s">
        <v>1634</v>
      </c>
      <c r="C962">
        <v>99</v>
      </c>
      <c r="D962" t="s">
        <v>28</v>
      </c>
      <c r="E962" s="1">
        <v>44610</v>
      </c>
      <c r="J962">
        <v>52</v>
      </c>
      <c r="K962">
        <v>45</v>
      </c>
    </row>
    <row r="963" spans="1:11" x14ac:dyDescent="0.3">
      <c r="A963" t="s">
        <v>1066</v>
      </c>
      <c r="B963" t="s">
        <v>1067</v>
      </c>
      <c r="C963">
        <v>86</v>
      </c>
      <c r="D963" t="s">
        <v>28</v>
      </c>
      <c r="E963" s="1">
        <v>45632</v>
      </c>
      <c r="J963">
        <v>58</v>
      </c>
      <c r="K963">
        <v>76</v>
      </c>
    </row>
    <row r="964" spans="1:11" x14ac:dyDescent="0.3">
      <c r="A964" t="s">
        <v>1736</v>
      </c>
      <c r="B964" t="s">
        <v>1737</v>
      </c>
      <c r="C964">
        <v>99</v>
      </c>
      <c r="D964" t="s">
        <v>28</v>
      </c>
      <c r="E964" s="1">
        <v>45573</v>
      </c>
      <c r="J964">
        <v>44</v>
      </c>
      <c r="K964">
        <v>38</v>
      </c>
    </row>
    <row r="965" spans="1:11" x14ac:dyDescent="0.3">
      <c r="A965" t="s">
        <v>1603</v>
      </c>
      <c r="B965" t="s">
        <v>1604</v>
      </c>
      <c r="C965">
        <v>138</v>
      </c>
      <c r="D965" t="s">
        <v>28</v>
      </c>
      <c r="E965" s="1">
        <v>45562</v>
      </c>
      <c r="J965">
        <v>55</v>
      </c>
      <c r="K965">
        <v>46</v>
      </c>
    </row>
    <row r="966" spans="1:11" x14ac:dyDescent="0.3">
      <c r="A966" t="s">
        <v>1837</v>
      </c>
      <c r="B966" t="s">
        <v>1838</v>
      </c>
      <c r="C966">
        <v>81</v>
      </c>
      <c r="D966" t="s">
        <v>28</v>
      </c>
      <c r="E966" s="1">
        <v>44610</v>
      </c>
      <c r="J966">
        <v>34</v>
      </c>
      <c r="K966">
        <v>31</v>
      </c>
    </row>
    <row r="967" spans="1:11" x14ac:dyDescent="0.3">
      <c r="A967" t="s">
        <v>1204</v>
      </c>
      <c r="B967" t="s">
        <v>1205</v>
      </c>
      <c r="C967">
        <v>95</v>
      </c>
      <c r="D967" t="s">
        <v>28</v>
      </c>
      <c r="E967" s="1">
        <v>45737</v>
      </c>
      <c r="G967">
        <v>835</v>
      </c>
      <c r="J967">
        <v>63</v>
      </c>
      <c r="K967">
        <v>71</v>
      </c>
    </row>
    <row r="968" spans="1:11" x14ac:dyDescent="0.3">
      <c r="A968" t="s">
        <v>1672</v>
      </c>
      <c r="B968" t="s">
        <v>1673</v>
      </c>
      <c r="C968">
        <v>91</v>
      </c>
      <c r="D968" t="s">
        <v>28</v>
      </c>
      <c r="E968" s="1">
        <v>45632</v>
      </c>
      <c r="J968">
        <v>49</v>
      </c>
      <c r="K968">
        <v>42</v>
      </c>
    </row>
    <row r="969" spans="1:11" x14ac:dyDescent="0.3">
      <c r="A969" t="s">
        <v>972</v>
      </c>
      <c r="B969" t="s">
        <v>973</v>
      </c>
      <c r="C969">
        <v>106</v>
      </c>
      <c r="D969" t="s">
        <v>15</v>
      </c>
      <c r="E969" s="1">
        <v>45604</v>
      </c>
      <c r="I969">
        <v>30</v>
      </c>
      <c r="J969">
        <v>72</v>
      </c>
      <c r="K969">
        <v>80</v>
      </c>
    </row>
    <row r="970" spans="1:11" x14ac:dyDescent="0.3">
      <c r="A970" t="s">
        <v>1508</v>
      </c>
      <c r="B970" t="s">
        <v>1509</v>
      </c>
      <c r="C970">
        <v>100</v>
      </c>
      <c r="D970" t="s">
        <v>63</v>
      </c>
      <c r="E970" s="1">
        <v>45317</v>
      </c>
      <c r="J970">
        <v>47</v>
      </c>
      <c r="K970">
        <v>54</v>
      </c>
    </row>
    <row r="971" spans="1:11" x14ac:dyDescent="0.3">
      <c r="A971" t="s">
        <v>1498</v>
      </c>
      <c r="B971" t="s">
        <v>1499</v>
      </c>
      <c r="C971">
        <v>87</v>
      </c>
      <c r="D971" t="s">
        <v>28</v>
      </c>
      <c r="E971" s="1">
        <v>45261</v>
      </c>
      <c r="J971">
        <v>52</v>
      </c>
      <c r="K971">
        <v>55</v>
      </c>
    </row>
    <row r="972" spans="1:11" x14ac:dyDescent="0.3">
      <c r="A972" t="s">
        <v>1702</v>
      </c>
      <c r="B972" t="s">
        <v>1703</v>
      </c>
      <c r="C972">
        <v>94</v>
      </c>
      <c r="D972" t="s">
        <v>28</v>
      </c>
      <c r="E972" s="1">
        <v>45541</v>
      </c>
      <c r="J972">
        <v>49</v>
      </c>
      <c r="K972">
        <v>40</v>
      </c>
    </row>
    <row r="973" spans="1:11" x14ac:dyDescent="0.3">
      <c r="A973" t="s">
        <v>1996</v>
      </c>
      <c r="B973" t="s">
        <v>1997</v>
      </c>
      <c r="C973">
        <v>93</v>
      </c>
      <c r="D973" t="s">
        <v>28</v>
      </c>
      <c r="E973" s="1">
        <v>45006</v>
      </c>
      <c r="J973">
        <v>22</v>
      </c>
      <c r="K973">
        <v>11</v>
      </c>
    </row>
    <row r="974" spans="1:11" x14ac:dyDescent="0.3">
      <c r="A974" t="s">
        <v>1894</v>
      </c>
      <c r="B974" t="s">
        <v>1895</v>
      </c>
      <c r="C974">
        <v>95</v>
      </c>
      <c r="D974" t="s">
        <v>28</v>
      </c>
      <c r="E974" s="1">
        <v>45464</v>
      </c>
      <c r="J974">
        <v>46</v>
      </c>
      <c r="K974">
        <v>26</v>
      </c>
    </row>
    <row r="975" spans="1:11" x14ac:dyDescent="0.3">
      <c r="A975" t="s">
        <v>2012</v>
      </c>
      <c r="B975" t="s">
        <v>2013</v>
      </c>
      <c r="C975">
        <v>84</v>
      </c>
      <c r="D975" t="s">
        <v>18</v>
      </c>
      <c r="E975" s="1">
        <v>45002</v>
      </c>
      <c r="J975">
        <v>16</v>
      </c>
      <c r="K975">
        <v>3</v>
      </c>
    </row>
    <row r="976" spans="1:11" x14ac:dyDescent="0.3">
      <c r="A976" t="s">
        <v>1595</v>
      </c>
      <c r="B976" t="s">
        <v>1596</v>
      </c>
      <c r="C976">
        <v>80</v>
      </c>
      <c r="D976" t="s">
        <v>28</v>
      </c>
      <c r="E976" s="1">
        <v>44715</v>
      </c>
      <c r="J976">
        <v>48</v>
      </c>
      <c r="K976">
        <v>47</v>
      </c>
    </row>
    <row r="977" spans="1:11" x14ac:dyDescent="0.3">
      <c r="A977" t="s">
        <v>1068</v>
      </c>
      <c r="B977" t="s">
        <v>1069</v>
      </c>
      <c r="C977">
        <v>104</v>
      </c>
      <c r="D977" t="s">
        <v>28</v>
      </c>
      <c r="E977" s="1">
        <v>45632</v>
      </c>
      <c r="J977">
        <v>69</v>
      </c>
      <c r="K977">
        <v>76</v>
      </c>
    </row>
    <row r="978" spans="1:11" x14ac:dyDescent="0.3">
      <c r="A978" t="s">
        <v>1934</v>
      </c>
      <c r="B978" t="s">
        <v>1935</v>
      </c>
      <c r="C978">
        <v>96</v>
      </c>
      <c r="D978" t="s">
        <v>25</v>
      </c>
      <c r="E978" s="1">
        <v>44911</v>
      </c>
      <c r="G978">
        <v>560</v>
      </c>
      <c r="I978">
        <v>13</v>
      </c>
      <c r="J978">
        <v>43</v>
      </c>
      <c r="K978">
        <v>23</v>
      </c>
    </row>
    <row r="979" spans="1:11" x14ac:dyDescent="0.3">
      <c r="A979" t="s">
        <v>1783</v>
      </c>
      <c r="B979" t="s">
        <v>1784</v>
      </c>
      <c r="C979">
        <v>104</v>
      </c>
      <c r="D979" t="s">
        <v>28</v>
      </c>
      <c r="E979" s="1">
        <v>45079</v>
      </c>
      <c r="G979">
        <v>1600</v>
      </c>
      <c r="I979">
        <v>40</v>
      </c>
      <c r="J979">
        <v>41</v>
      </c>
      <c r="K979">
        <v>34</v>
      </c>
    </row>
    <row r="980" spans="1:11" x14ac:dyDescent="0.3">
      <c r="A980" t="s">
        <v>1550</v>
      </c>
      <c r="B980" t="s">
        <v>1551</v>
      </c>
      <c r="C980">
        <v>92</v>
      </c>
      <c r="D980" t="s">
        <v>28</v>
      </c>
      <c r="E980" s="1">
        <v>44893</v>
      </c>
      <c r="I980">
        <v>49</v>
      </c>
      <c r="J980">
        <v>53</v>
      </c>
      <c r="K980">
        <v>50</v>
      </c>
    </row>
    <row r="981" spans="1:11" x14ac:dyDescent="0.3">
      <c r="A981" t="s">
        <v>1926</v>
      </c>
      <c r="B981" t="s">
        <v>1927</v>
      </c>
      <c r="C981">
        <v>92</v>
      </c>
      <c r="D981" t="s">
        <v>28</v>
      </c>
      <c r="E981" s="1">
        <v>44868</v>
      </c>
      <c r="J981">
        <v>41</v>
      </c>
      <c r="K981">
        <v>24</v>
      </c>
    </row>
    <row r="982" spans="1:11" x14ac:dyDescent="0.3">
      <c r="A982" t="s">
        <v>1938</v>
      </c>
      <c r="B982" t="s">
        <v>1939</v>
      </c>
      <c r="C982">
        <v>90</v>
      </c>
      <c r="D982" t="s">
        <v>28</v>
      </c>
      <c r="E982" s="1">
        <v>45317</v>
      </c>
      <c r="J982">
        <v>45</v>
      </c>
      <c r="K982">
        <v>22</v>
      </c>
    </row>
    <row r="983" spans="1:11" x14ac:dyDescent="0.3">
      <c r="A983" t="s">
        <v>1593</v>
      </c>
      <c r="B983" t="s">
        <v>1594</v>
      </c>
      <c r="C983">
        <v>104</v>
      </c>
      <c r="D983" t="s">
        <v>25</v>
      </c>
      <c r="E983" s="1">
        <v>44792</v>
      </c>
      <c r="J983">
        <v>58</v>
      </c>
      <c r="K983">
        <v>47</v>
      </c>
    </row>
    <row r="984" spans="1:11" x14ac:dyDescent="0.3">
      <c r="A984" t="s">
        <v>1536</v>
      </c>
      <c r="B984" t="s">
        <v>1537</v>
      </c>
      <c r="C984">
        <v>103</v>
      </c>
      <c r="D984" t="s">
        <v>28</v>
      </c>
      <c r="E984" s="1">
        <v>45233</v>
      </c>
      <c r="J984">
        <v>59</v>
      </c>
      <c r="K984">
        <v>51</v>
      </c>
    </row>
    <row r="985" spans="1:11" x14ac:dyDescent="0.3">
      <c r="A985" t="s">
        <v>1904</v>
      </c>
      <c r="B985" t="s">
        <v>1905</v>
      </c>
      <c r="C985">
        <v>104</v>
      </c>
      <c r="D985" t="s">
        <v>15</v>
      </c>
      <c r="E985" s="1">
        <v>45366</v>
      </c>
      <c r="J985">
        <v>50</v>
      </c>
      <c r="K985">
        <v>25</v>
      </c>
    </row>
    <row r="986" spans="1:11" x14ac:dyDescent="0.3">
      <c r="A986" t="s">
        <v>1930</v>
      </c>
      <c r="B986" t="s">
        <v>1931</v>
      </c>
      <c r="C986">
        <v>95</v>
      </c>
      <c r="D986" t="s">
        <v>15</v>
      </c>
      <c r="E986" s="1">
        <v>45681</v>
      </c>
      <c r="J986">
        <v>37</v>
      </c>
      <c r="K986">
        <v>23</v>
      </c>
    </row>
    <row r="987" spans="1:11" x14ac:dyDescent="0.3">
      <c r="A987" t="s">
        <v>1196</v>
      </c>
      <c r="B987" t="s">
        <v>1197</v>
      </c>
      <c r="C987">
        <v>106</v>
      </c>
      <c r="D987" t="s">
        <v>28</v>
      </c>
      <c r="E987" s="1">
        <v>44806</v>
      </c>
      <c r="I987">
        <v>52</v>
      </c>
      <c r="J987">
        <v>63</v>
      </c>
      <c r="K987">
        <v>72</v>
      </c>
    </row>
    <row r="988" spans="1:11" x14ac:dyDescent="0.3">
      <c r="A988" t="s">
        <v>1801</v>
      </c>
      <c r="B988" t="s">
        <v>1802</v>
      </c>
      <c r="C988">
        <v>104</v>
      </c>
      <c r="D988" t="s">
        <v>63</v>
      </c>
      <c r="E988" s="1">
        <v>44778</v>
      </c>
      <c r="J988">
        <v>46</v>
      </c>
      <c r="K988">
        <v>33</v>
      </c>
    </row>
    <row r="989" spans="1:11" x14ac:dyDescent="0.3">
      <c r="A989" t="s">
        <v>1104</v>
      </c>
      <c r="B989" t="s">
        <v>1105</v>
      </c>
      <c r="C989">
        <v>92</v>
      </c>
      <c r="D989" t="s">
        <v>28</v>
      </c>
      <c r="E989" s="1">
        <v>45597</v>
      </c>
      <c r="G989">
        <v>453</v>
      </c>
      <c r="I989">
        <v>7</v>
      </c>
      <c r="J989">
        <v>59</v>
      </c>
      <c r="K989">
        <v>75</v>
      </c>
    </row>
    <row r="990" spans="1:11" x14ac:dyDescent="0.3">
      <c r="A990" t="s">
        <v>1785</v>
      </c>
      <c r="B990" t="s">
        <v>1786</v>
      </c>
      <c r="C990">
        <v>85</v>
      </c>
      <c r="D990" t="s">
        <v>15</v>
      </c>
      <c r="E990" s="1">
        <v>44837</v>
      </c>
      <c r="G990">
        <v>506</v>
      </c>
      <c r="I990">
        <v>23</v>
      </c>
      <c r="J990">
        <v>50</v>
      </c>
      <c r="K990">
        <v>34</v>
      </c>
    </row>
    <row r="991" spans="1:11" x14ac:dyDescent="0.3">
      <c r="A991" t="s">
        <v>142</v>
      </c>
      <c r="B991" t="s">
        <v>143</v>
      </c>
      <c r="C991">
        <v>98</v>
      </c>
      <c r="D991" t="s">
        <v>28</v>
      </c>
      <c r="E991" s="1">
        <v>45058</v>
      </c>
      <c r="J991">
        <v>27</v>
      </c>
      <c r="K991">
        <v>22</v>
      </c>
    </row>
    <row r="992" spans="1:11" x14ac:dyDescent="0.3">
      <c r="A992" t="s">
        <v>1960</v>
      </c>
      <c r="B992" t="s">
        <v>1961</v>
      </c>
      <c r="C992">
        <v>126</v>
      </c>
      <c r="D992" t="s">
        <v>28</v>
      </c>
      <c r="E992" s="1">
        <v>44652</v>
      </c>
      <c r="J992">
        <v>34</v>
      </c>
      <c r="K992">
        <v>20</v>
      </c>
    </row>
    <row r="993" spans="1:11" x14ac:dyDescent="0.3">
      <c r="A993" t="s">
        <v>1124</v>
      </c>
      <c r="B993" t="s">
        <v>1125</v>
      </c>
      <c r="C993">
        <v>110</v>
      </c>
      <c r="D993" t="s">
        <v>18</v>
      </c>
      <c r="E993" s="1">
        <v>45064</v>
      </c>
      <c r="J993">
        <v>72</v>
      </c>
      <c r="K993">
        <v>75</v>
      </c>
    </row>
    <row r="994" spans="1:11" x14ac:dyDescent="0.3">
      <c r="A994" t="s">
        <v>1116</v>
      </c>
      <c r="B994" t="s">
        <v>1117</v>
      </c>
      <c r="C994">
        <v>113</v>
      </c>
      <c r="D994" t="s">
        <v>28</v>
      </c>
      <c r="E994" s="1">
        <v>45361</v>
      </c>
      <c r="G994">
        <v>388</v>
      </c>
      <c r="I994">
        <v>11</v>
      </c>
      <c r="J994">
        <v>66</v>
      </c>
      <c r="K994">
        <v>75</v>
      </c>
    </row>
    <row r="995" spans="1:11" x14ac:dyDescent="0.3">
      <c r="A995" t="s">
        <v>1799</v>
      </c>
      <c r="B995" t="s">
        <v>1800</v>
      </c>
      <c r="C995">
        <v>90</v>
      </c>
      <c r="D995" t="s">
        <v>18</v>
      </c>
      <c r="E995" s="1">
        <v>45194</v>
      </c>
      <c r="G995">
        <v>443</v>
      </c>
      <c r="I995">
        <v>11</v>
      </c>
      <c r="J995">
        <v>46</v>
      </c>
      <c r="K995">
        <v>33</v>
      </c>
    </row>
    <row r="996" spans="1:11" x14ac:dyDescent="0.3">
      <c r="A996" t="s">
        <v>1920</v>
      </c>
      <c r="B996" t="s">
        <v>1921</v>
      </c>
      <c r="C996">
        <v>100</v>
      </c>
      <c r="D996" t="s">
        <v>28</v>
      </c>
      <c r="E996" s="1">
        <v>45421</v>
      </c>
      <c r="J996">
        <v>29</v>
      </c>
      <c r="K996">
        <v>24</v>
      </c>
    </row>
    <row r="997" spans="1:11" x14ac:dyDescent="0.3">
      <c r="A997" t="s">
        <v>1274</v>
      </c>
      <c r="B997" t="s">
        <v>1275</v>
      </c>
      <c r="C997">
        <v>86</v>
      </c>
      <c r="D997" t="s">
        <v>28</v>
      </c>
      <c r="E997" s="1">
        <v>45219</v>
      </c>
      <c r="I997">
        <v>54</v>
      </c>
      <c r="J997">
        <v>57</v>
      </c>
      <c r="K997">
        <v>68</v>
      </c>
    </row>
    <row r="998" spans="1:11" x14ac:dyDescent="0.3">
      <c r="A998" t="s">
        <v>130</v>
      </c>
      <c r="B998" t="s">
        <v>131</v>
      </c>
      <c r="C998">
        <v>109</v>
      </c>
      <c r="D998" t="s">
        <v>12</v>
      </c>
      <c r="E998" s="1">
        <v>45737</v>
      </c>
      <c r="J998">
        <v>50</v>
      </c>
      <c r="K998">
        <v>39</v>
      </c>
    </row>
    <row r="999" spans="1:11" x14ac:dyDescent="0.3">
      <c r="A999" t="s">
        <v>1756</v>
      </c>
      <c r="B999" t="s">
        <v>1757</v>
      </c>
      <c r="C999">
        <v>104</v>
      </c>
      <c r="D999" t="s">
        <v>28</v>
      </c>
      <c r="E999" s="1">
        <v>45006</v>
      </c>
      <c r="G999">
        <v>568</v>
      </c>
      <c r="I999">
        <v>14</v>
      </c>
      <c r="J999">
        <v>56</v>
      </c>
      <c r="K999">
        <v>37</v>
      </c>
    </row>
    <row r="1000" spans="1:11" x14ac:dyDescent="0.3">
      <c r="A1000" s="16" t="s">
        <v>172</v>
      </c>
      <c r="B1000" s="16" t="s">
        <v>173</v>
      </c>
      <c r="C1000" s="16">
        <v>118</v>
      </c>
      <c r="D1000" s="16" t="s">
        <v>28</v>
      </c>
      <c r="E1000" s="17">
        <v>45303</v>
      </c>
      <c r="F1000" s="16">
        <v>7.5</v>
      </c>
      <c r="G1000" s="16">
        <v>667</v>
      </c>
      <c r="I1000">
        <v>7</v>
      </c>
      <c r="J1000">
        <v>83</v>
      </c>
      <c r="K1000">
        <v>100</v>
      </c>
    </row>
    <row r="1001" spans="1:11" x14ac:dyDescent="0.3">
      <c r="A1001" t="s">
        <v>802</v>
      </c>
      <c r="B1001" t="s">
        <v>803</v>
      </c>
      <c r="C1001">
        <v>94</v>
      </c>
      <c r="D1001" t="s">
        <v>28</v>
      </c>
      <c r="E1001" s="1">
        <v>44904</v>
      </c>
      <c r="G1001">
        <v>1700</v>
      </c>
      <c r="I1001">
        <v>5</v>
      </c>
      <c r="J1001">
        <v>64</v>
      </c>
      <c r="K1001">
        <v>85</v>
      </c>
    </row>
  </sheetData>
  <autoFilter ref="A1:K1001" xr:uid="{9CA7BE0C-5918-4CD6-B955-712735BB5BB1}">
    <sortState xmlns:xlrd2="http://schemas.microsoft.com/office/spreadsheetml/2017/richdata2" ref="A2:K1001">
      <sortCondition descending="1" ref="H1:H1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thousand_movies_with_ratings</vt:lpstr>
      <vt:lpstr>Stats</vt:lpstr>
      <vt:lpstr>T-Tests</vt:lpstr>
      <vt:lpstr>Review Count Ratio</vt:lpstr>
      <vt:lpstr>Most_Loved</vt:lpstr>
      <vt:lpstr>Most Hated</vt:lpstr>
      <vt:lpstr>Overlooked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Rodriguez</cp:lastModifiedBy>
  <dcterms:created xsi:type="dcterms:W3CDTF">2026-04-17T15:41:23Z</dcterms:created>
  <dcterms:modified xsi:type="dcterms:W3CDTF">2026-04-19T00:54:47Z</dcterms:modified>
</cp:coreProperties>
</file>